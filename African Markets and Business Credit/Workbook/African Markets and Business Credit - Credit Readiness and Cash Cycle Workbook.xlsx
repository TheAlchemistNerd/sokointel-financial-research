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eb6b09c3f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d7a660f15554527"/>
    <x:sheet xmlns:r="http://schemas.openxmlformats.org/officeDocument/2006/relationships" name="P1 Cash Cycle" sheetId="2" r:id="R8cf15bb347dc42f6"/>
    <x:sheet xmlns:r="http://schemas.openxmlformats.org/officeDocument/2006/relationships" name="P2 Facility" sheetId="3" r:id="Rec725e19d6af4ce4"/>
    <x:sheet xmlns:r="http://schemas.openxmlformats.org/officeDocument/2006/relationships" name="Entity Review" sheetId="4" r:id="R8ec528e3b2bd4d5f"/>
    <x:sheet xmlns:r="http://schemas.openxmlformats.org/officeDocument/2006/relationships" name="Credit Readiness" sheetId="5" r:id="R5f6fdad95caa4e81"/>
    <x:sheet xmlns:r="http://schemas.openxmlformats.org/officeDocument/2006/relationships" name="Sources &amp; Notes" sheetId="6" r:id="Rdc20be8f4f2d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-"/>
    <x:numFmt numFmtId="201" formatCode="0.0%"/>
    <x:numFmt numFmtId="202" formatCode="yyyy-mm-dd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b/>
      <x:sz val="10"/>
      <x:color rgb="FF17324D"/>
      <x:name val="Arial"/>
    </x:font>
    <x:font>
      <x:i/>
      <x:sz val="9"/>
      <x:color rgb="FF4B55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F0EA"/>
      </x:patternFill>
    </x:fill>
    <x:fill>
      <x:patternFill patternType="solid">
        <x:fgColor rgb="FFF3F5F7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b9844e7a34c93" /><Relationship Type="http://schemas.openxmlformats.org/officeDocument/2006/relationships/theme" Target="/xl/theme/theme1.xml" Id="R6636bd0e37114cfa" /><Relationship Type="http://schemas.openxmlformats.org/officeDocument/2006/relationships/sharedStrings" Target="/xl/sharedStrings.xml" Id="Rd7df899ac40a4052" /><Relationship Type="http://schemas.openxmlformats.org/officeDocument/2006/relationships/worksheet" Target="/xl/worksheets/sheet1.xml" Id="R5d7a660f15554527" /><Relationship Type="http://schemas.openxmlformats.org/officeDocument/2006/relationships/worksheet" Target="/xl/worksheets/sheet2.xml" Id="R8cf15bb347dc42f6" /><Relationship Type="http://schemas.openxmlformats.org/officeDocument/2006/relationships/worksheet" Target="/xl/worksheets/sheet3.xml" Id="Rec725e19d6af4ce4" /><Relationship Type="http://schemas.openxmlformats.org/officeDocument/2006/relationships/worksheet" Target="/xl/worksheets/sheet4.xml" Id="R8ec528e3b2bd4d5f" /><Relationship Type="http://schemas.openxmlformats.org/officeDocument/2006/relationships/worksheet" Target="/xl/worksheets/sheet5.xml" Id="R5f6fdad95caa4e81" /><Relationship Type="http://schemas.openxmlformats.org/officeDocument/2006/relationships/worksheet" Target="/xl/worksheets/sheet6.xml" Id="Rdc20be8f4f2d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4" hidden="0" customWidth="1"/>
    <x:col min="4" max="4" width="28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</x:row>
    <x:row r="2">
      <x:c r="A2" s="9" t="str">
        <x:v>African Markets and Business Credit</x:v>
      </x:c>
      <x:c r="B2" s="8"/>
      <x:c r="C2" s="8"/>
      <x:c r="D2" s="8"/>
      <x:c r="E2" s="8"/>
      <x:c r="F2" s="8"/>
      <x:c r="G2" s="8"/>
      <x:c r="H2" s="8"/>
    </x:row>
    <x:row r="3">
      <x:c r="A3" s="10" t="str">
        <x:v>Companion workbook for Part 1 and Part 2. All figures are illustrative until replaced with dated business records.</x:v>
      </x:c>
      <x:c r="B3" s="8"/>
      <x:c r="C3" s="8"/>
      <x:c r="D3" s="8"/>
      <x:c r="E3" s="8"/>
      <x:c r="F3" s="8"/>
      <x:c r="G3" s="8"/>
      <x:c r="H3" s="8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13" t="str">
        <x:v>Workbook area</x:v>
      </x:c>
      <x:c r="B6" s="13" t="str">
        <x:v>Use</x:v>
      </x:c>
      <x:c r="C6" s="8"/>
      <x:c r="D6" s="13" t="str">
        <x:v>Use in sequence</x:v>
      </x:c>
      <x:c r="E6" s="13" t="str">
        <x:v>1. Check the order</x:v>
      </x:c>
      <x:c r="F6" s="13" t="str">
        <x:v>2. Test timing and cost</x:v>
      </x:c>
      <x:c r="G6" s="13" t="str">
        <x:v>3. Resolve cash flows</x:v>
      </x:c>
      <x:c r="H6" s="13" t="str">
        <x:v>4. Retain evidence</x:v>
      </x:c>
    </x:row>
    <x:row r="7">
      <x:c r="A7" s="8" t="str">
        <x:v>P1 Cash Cycle</x:v>
      </x:c>
      <x:c r="B7" s="8" t="str">
        <x:v>Tests how a change in cash tied up changes released cash and simple annual financing cost.</x:v>
      </x:c>
      <x:c r="C7" s="8"/>
      <x:c r="D7" s="8" t="str">
        <x:v>A recorded commercial order.</x:v>
      </x:c>
      <x:c r="E7" s="8" t="str">
        <x:v>Buyer, amount, deposit, cost, supplier date, delivery, and collection.</x:v>
      </x:c>
      <x:c r="F7" s="8" t="str">
        <x:v>Use Part 1 and Part 2 inputs.</x:v>
      </x:c>
      <x:c r="G7" s="8" t="str">
        <x:v>Do not count raw credits as sales without evidence.</x:v>
      </x:c>
      <x:c r="H7" s="8" t="str">
        <x:v>Compare actual outcomes with the plan.</x:v>
      </x:c>
    </x:row>
    <x:row r="8">
      <x:c r="A8" s="8" t="str">
        <x:v>P2 Facility</x:v>
      </x:c>
      <x:c r="B8" s="8" t="str">
        <x:v>Builds a dated order-level facility scenario with customer timing, costs, fees, and adverse cases.</x:v>
      </x:c>
      <x:c r="C8" s="8"/>
      <x:c r="D8" s="8" t="str">
        <x:v>Order-level cash calendar.</x:v>
      </x:c>
      <x:c r="E8" s="8" t="str">
        <x:v>Include commitments already due, not only the new facility.</x:v>
      </x:c>
      <x:c r="F8" s="8" t="str">
        <x:v>Base, delay, cost, and combined scenarios.</x:v>
      </x:c>
      <x:c r="G8" s="8" t="str">
        <x:v>Keep confirmed, plausible, and unresolved links separate.</x:v>
      </x:c>
      <x:c r="H8" s="8" t="str">
        <x:v>Record corrections and update the next request.</x:v>
      </x:c>
    </x:row>
    <x:row r="9">
      <x:c r="A9" s="8" t="str">
        <x:v>Entity Review</x:v>
      </x:c>
      <x:c r="B9" s="8" t="str">
        <x:v>Classifies a fictional transaction ledger before calculating operating receipts and customer-group concentration.</x:v>
      </x:c>
      <x:c r="C9" s="8"/>
      <x:c r="D9" s="8" t="str">
        <x:v>Commercial terms before funding.</x:v>
      </x:c>
      <x:c r="E9" s="8" t="str">
        <x:v>Use deposits, supplier credit, staged delivery, or a smaller order where they reduce risk.</x:v>
      </x:c>
      <x:c r="F9" s="8" t="str">
        <x:v>Compare usable cash and dated repayments.</x:v>
      </x:c>
      <x:c r="G9" s="8" t="str">
        <x:v>Group counterparty labels only where evidence supports it.</x:v>
      </x:c>
      <x:c r="H9" s="8" t="str">
        <x:v>Keep agreement and complaint-route records.</x:v>
      </x:c>
    </x:row>
    <x:row r="10">
      <x:c r="A10" s="8" t="str">
        <x:v>Credit Readiness</x:v>
      </x:c>
      <x:c r="B10" s="8" t="str">
        <x:v>A reusable checklist for evidence needed before, during, and after a business-credit facility.</x:v>
      </x:c>
      <x:c r="C10" s="8"/>
      <x:c r="D10" s="8" t="str">
        <x:v>Proof separate from calculations.</x:v>
      </x:c>
      <x:c r="E10" s="8" t="str">
        <x:v>Retain invoices, delivery evidence, receipts, reconciliations, and ownership records.</x:v>
      </x:c>
      <x:c r="F10" s="8" t="str">
        <x:v>Replace all fictional values with source data.</x:v>
      </x:c>
      <x:c r="G10" s="8" t="str">
        <x:v>A related-party flag is a question, not a conclusion.</x:v>
      </x:c>
      <x:c r="H10" s="8" t="str">
        <x:v>Do not use this workbook as the only basis for a credit decision.</x:v>
      </x:c>
    </x:row>
    <x:row r="11">
      <x:c r="A11" s="8" t="str">
        <x:v>Sources &amp; Notes</x:v>
      </x:c>
      <x:c r="B11" s="8" t="str">
        <x:v>States scope, formulas, and reference material behind the workbook.</x:v>
      </x:c>
      <x:c r="C11" s="8"/>
      <x:c r="D11" s="8" t="str">
        <x:v>Proportionate human review.</x:v>
      </x:c>
      <x:c r="E11" s="8" t="str">
        <x:v>Use product terms, legal obligations, and lender policy.</x:v>
      </x:c>
      <x:c r="F11" s="8" t="str">
        <x:v>Do not treat sensitivity results as a forecast.</x:v>
      </x:c>
      <x:c r="G11" s="8" t="str">
        <x:v>Use a fair correction route for an incorrect classification.</x:v>
      </x:c>
      <x:c r="H11" s="8" t="str">
        <x:v>Apply professional advice where appropriate.</x:v>
      </x:c>
    </x:row>
    <x:row r="12">
      <x:c r="A12" s="8" t="str">
        <x:v>Amber cells</x:v>
      </x:c>
      <x:c r="B12" s="8" t="str">
        <x:v>Editable inputs and statuses. Blue text identifies cells the reader can replace.</x:v>
      </x:c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15" t="str">
        <x:v>Scope: This educational decision-support model illustrates financial relationships described in the companion articles. It does not establish creditworthiness, determine a legal outcome, or prove fraud.</x:v>
      </x:c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</x:sheetData>
  <x:mergeCells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31" hidden="0" customWidth="1"/>
    <x:col min="5" max="5" width="44" hidden="0" customWidth="1"/>
    <x:col min="6" max="6" width="20" hidden="0" customWidth="1"/>
  </x:cols>
  <x:sheetData>
    <x:row r="1">
      <x:c r="A1" s="8"/>
      <x:c r="B1" s="8"/>
      <x:c r="C1" s="8"/>
      <x:c r="D1" s="8"/>
      <x:c r="E1" s="8"/>
      <x:c r="F1" s="8"/>
    </x:row>
    <x:row r="2">
      <x:c r="A2" s="9" t="str">
        <x:v>Part 1: Cash tied up in the trade cycle</x:v>
      </x:c>
      <x:c r="B2" s="8"/>
      <x:c r="C2" s="8"/>
      <x:c r="D2" s="8"/>
      <x:c r="E2" s="8"/>
      <x:c r="F2" s="8"/>
    </x:row>
    <x:row r="3">
      <x:c r="A3" s="10" t="str">
        <x:v>Amber cells are illustrative inputs. KES values can be replaced with a business's own dated cash-cycle records.</x:v>
      </x:c>
      <x:c r="B3" s="8"/>
      <x:c r="C3" s="8"/>
      <x:c r="D3" s="8"/>
      <x:c r="E3" s="8"/>
      <x:c r="F3" s="8"/>
    </x:row>
    <x:row r="4">
      <x:c r="A4" s="11"/>
      <x:c r="B4" s="11"/>
      <x:c r="C4" s="11"/>
      <x:c r="D4" s="11"/>
      <x:c r="E4" s="11"/>
      <x:c r="F4" s="11"/>
    </x:row>
    <x:row r="5">
      <x:c r="A5" s="8"/>
      <x:c r="B5" s="8"/>
      <x:c r="C5" s="8"/>
      <x:c r="D5" s="8"/>
      <x:c r="E5" s="8"/>
      <x:c r="F5" s="8"/>
    </x:row>
    <x:row r="6">
      <x:c r="A6" s="13" t="str">
        <x:v>Input or result</x:v>
      </x:c>
      <x:c r="B6" s="13" t="str">
        <x:v>Base case</x:v>
      </x:c>
      <x:c r="C6" s="13" t="str">
        <x:v>Constrained case</x:v>
      </x:c>
      <x:c r="D6" s="13" t="str">
        <x:v>Formula</x:v>
      </x:c>
      <x:c r="E6" s="13" t="str">
        <x:v>Management use</x:v>
      </x:c>
      <x:c r="F6" s="8"/>
    </x:row>
    <x:row r="7">
      <x:c r="A7" s="8" t="str">
        <x:v>Current cycle cash tied up</x:v>
      </x:c>
      <x:c r="B7" s="18" t="n">
        <x:v>5000000</x:v>
      </x:c>
      <x:c r="C7" s="18" t="n">
        <x:v>5000000</x:v>
      </x:c>
      <x:c r="D7" s="8" t="str">
        <x:v>Input</x:v>
      </x:c>
      <x:c r="E7" s="8" t="str">
        <x:v>Current cash committed to the operating cycle.</x:v>
      </x:c>
      <x:c r="F7" s="8"/>
    </x:row>
    <x:row r="8">
      <x:c r="A8" s="8" t="str">
        <x:v>Improved cycle cash tied up</x:v>
      </x:c>
      <x:c r="B8" s="18" t="n">
        <x:v>4000000</x:v>
      </x:c>
      <x:c r="C8" s="18" t="n">
        <x:v>4500000</x:v>
      </x:c>
      <x:c r="D8" s="8" t="str">
        <x:v>Input</x:v>
      </x:c>
      <x:c r="E8" s="8" t="str">
        <x:v>Cash needed after a reliably improved cycle.</x:v>
      </x:c>
      <x:c r="F8" s="8"/>
    </x:row>
    <x:row r="9">
      <x:c r="A9" s="8" t="str">
        <x:v>Annual financing rate</x:v>
      </x:c>
      <x:c r="B9" s="19" t="n">
        <x:v>0.18</x:v>
      </x:c>
      <x:c r="C9" s="19" t="n">
        <x:v>0.18</x:v>
      </x:c>
      <x:c r="D9" s="8" t="str">
        <x:v>Input</x:v>
      </x:c>
      <x:c r="E9" s="8" t="str">
        <x:v>Illustrative simple annual rate.</x:v>
      </x:c>
      <x:c r="F9" s="8"/>
    </x:row>
    <x:row r="10">
      <x:c r="A10" s="8" t="str">
        <x:v>Cash released</x:v>
      </x:c>
      <x:c r="B10" s="20" t="n">
        <x:f>B7-B8</x:f>
        <x:v>1000000</x:v>
      </x:c>
      <x:c r="C10" s="20" t="n">
        <x:f>C7-C8</x:f>
        <x:v>500000</x:v>
      </x:c>
      <x:c r="D10" s="8" t="str">
        <x:v>Current cash minus improved cash</x:v>
      </x:c>
      <x:c r="E10" s="8" t="str">
        <x:v>Can reduce borrowing or support a buffer.</x:v>
      </x:c>
      <x:c r="F10" s="8"/>
    </x:row>
    <x:row r="11">
      <x:c r="A11" s="8" t="str">
        <x:v>Annual financing cost avoided</x:v>
      </x:c>
      <x:c r="B11" s="20" t="n">
        <x:f>B10*B9</x:f>
        <x:v>180000</x:v>
      </x:c>
      <x:c r="C11" s="20" t="n">
        <x:f>C10*C9</x:f>
        <x:v>90000</x:v>
      </x:c>
      <x:c r="D11" s="8" t="str">
        <x:v>Cash released times rate</x:v>
      </x:c>
      <x:c r="E11" s="8" t="str">
        <x:v>Simple annual financing cost on released cash.</x:v>
      </x:c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13" t="str">
        <x:v>Case</x:v>
      </x:c>
      <x:c r="B14" s="13" t="str">
        <x:v>Current cash</x:v>
      </x:c>
      <x:c r="C14" s="13" t="str">
        <x:v>Improved cash</x:v>
      </x:c>
      <x:c r="D14" s="13" t="str">
        <x:v>Annual rate</x:v>
      </x:c>
      <x:c r="E14" s="13" t="str">
        <x:v>Cash released</x:v>
      </x:c>
      <x:c r="F14" s="13" t="str">
        <x:v>Annual cost avoided</x:v>
      </x:c>
    </x:row>
    <x:row r="15">
      <x:c r="A15" s="8" t="str">
        <x:v>Base</x:v>
      </x:c>
      <x:c r="B15" s="20" t="n">
        <x:f>B7</x:f>
        <x:v>5000000</x:v>
      </x:c>
      <x:c r="C15" s="20" t="n">
        <x:f>B8</x:f>
        <x:v>4000000</x:v>
      </x:c>
      <x:c r="D15" s="21" t="n">
        <x:f>B9</x:f>
        <x:v>0.18</x:v>
      </x:c>
      <x:c r="E15" s="20" t="n">
        <x:f>B15-C15</x:f>
        <x:v>1000000</x:v>
      </x:c>
      <x:c r="F15" s="20" t="n">
        <x:f>E15*D15</x:f>
        <x:v>180000</x:v>
      </x:c>
    </x:row>
    <x:row r="16">
      <x:c r="A16" s="8" t="str">
        <x:v>Slower improvement</x:v>
      </x:c>
      <x:c r="B16" s="18" t="n">
        <x:v>5000000</x:v>
      </x:c>
      <x:c r="C16" s="18" t="n">
        <x:v>4500000</x:v>
      </x:c>
      <x:c r="D16" s="19" t="n">
        <x:v>0.18</x:v>
      </x:c>
      <x:c r="E16" s="20" t="n">
        <x:f>B16-C16</x:f>
        <x:v>500000</x:v>
      </x:c>
      <x:c r="F16" s="20" t="n">
        <x:f>E16*D16</x:f>
        <x:v>90000</x:v>
      </x:c>
    </x:row>
    <x:row r="17">
      <x:c r="A17" s="8" t="str">
        <x:v>No operational improvement</x:v>
      </x:c>
      <x:c r="B17" s="18" t="n">
        <x:v>5000000</x:v>
      </x:c>
      <x:c r="C17" s="18" t="n">
        <x:v>5000000</x:v>
      </x:c>
      <x:c r="D17" s="19" t="n">
        <x:v>0.18</x:v>
      </x:c>
      <x:c r="E17" s="20" t="n">
        <x:f>B17-C17</x:f>
        <x:v>0</x:v>
      </x:c>
      <x:c r="F17" s="20" t="n">
        <x:f>E17*D17</x:f>
        <x:v>0</x:v>
      </x:c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23" t="str">
        <x:v>Reconciliation check</x:v>
      </x:c>
      <x:c r="B20" s="24" t="n">
        <x:f>B10-(B7-B8)</x:f>
        <x:v>0</x:v>
      </x:c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27" t="str">
        <x:v>Formula: cash released equals current cycle cash minus improved cycle cash. Annual financing cost avoided equals cash released times annual financing rate. Do not reduce a stock buffer until supplier reliability, customer commitments, and disruption cost have been checked.</x:v>
      </x:c>
      <x:c r="B22" s="27"/>
      <x:c r="C22" s="27"/>
      <x:c r="D22" s="27"/>
      <x:c r="E22" s="27"/>
      <x:c r="F22" s="27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</x:sheetData>
  <x:mergeCells>
    <x:mergeCell ref="A22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7" hidden="0" customWidth="1"/>
    <x:col min="3" max="3" width="18" hidden="0" customWidth="1"/>
    <x:col min="4" max="4" width="18" hidden="0" customWidth="1"/>
    <x:col min="5" max="5" width="21" hidden="0" customWidth="1"/>
    <x:col min="6" max="6" width="16" hidden="0" customWidth="1"/>
    <x:col min="7" max="7" width="18" hidden="0" customWidth="1"/>
    <x:col min="8" max="8" width="22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</x:row>
    <x:row r="2">
      <x:c r="A2" s="9" t="str">
        <x:v>Part 2: Facility and adverse-case scenarios</x:v>
      </x:c>
      <x:c r="B2" s="8"/>
      <x:c r="C2" s="8"/>
      <x:c r="D2" s="8"/>
      <x:c r="E2" s="8"/>
      <x:c r="F2" s="8"/>
      <x:c r="G2" s="8"/>
      <x:c r="H2" s="8"/>
    </x:row>
    <x:row r="3">
      <x:c r="A3" s="10" t="str">
        <x:v>Edit base-case inputs in amber. Scenario rows show how collection timing and input costs change the draw and finance cost.</x:v>
      </x:c>
      <x:c r="B3" s="8"/>
      <x:c r="C3" s="8"/>
      <x:c r="D3" s="8"/>
      <x:c r="E3" s="8"/>
      <x:c r="F3" s="8"/>
      <x:c r="G3" s="8"/>
      <x:c r="H3" s="8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13" t="str">
        <x:v>Base-case input</x:v>
      </x:c>
      <x:c r="B6" s="13" t="str">
        <x:v>Value</x:v>
      </x:c>
      <x:c r="C6" s="8"/>
      <x:c r="D6" s="13" t="str">
        <x:v>Calculated output</x:v>
      </x:c>
      <x:c r="E6" s="13" t="str">
        <x:v>Base result</x:v>
      </x:c>
      <x:c r="F6" s="8"/>
      <x:c r="G6" s="8"/>
      <x:c r="H6" s="8"/>
    </x:row>
    <x:row r="7">
      <x:c r="A7" s="8" t="str">
        <x:v>Contract value</x:v>
      </x:c>
      <x:c r="B7" s="18" t="n">
        <x:v>1000000</x:v>
      </x:c>
      <x:c r="C7" s="8"/>
      <x:c r="D7" s="8" t="str">
        <x:v>Gross contribution before finance</x:v>
      </x:c>
      <x:c r="E7" s="20" t="n">
        <x:f>B7-B9-B10</x:f>
        <x:v>280000</x:v>
      </x:c>
      <x:c r="F7" s="8"/>
      <x:c r="G7" s="8"/>
      <x:c r="H7" s="8"/>
    </x:row>
    <x:row r="8">
      <x:c r="A8" s="8" t="str">
        <x:v>Customer deposit percentage</x:v>
      </x:c>
      <x:c r="B8" s="19" t="n">
        <x:v>0.2</x:v>
      </x:c>
      <x:c r="C8" s="8"/>
      <x:c r="D8" s="8" t="str">
        <x:v>Working-capital draw after deposit</x:v>
      </x:c>
      <x:c r="E8" s="20" t="n">
        <x:f>MAX(0,B9+B10-(B7*B8))</x:f>
        <x:v>520000</x:v>
      </x:c>
      <x:c r="F8" s="8"/>
      <x:c r="G8" s="8"/>
      <x:c r="H8" s="8"/>
    </x:row>
    <x:row r="9">
      <x:c r="A9" s="8" t="str">
        <x:v>Material cost</x:v>
      </x:c>
      <x:c r="B9" s="18" t="n">
        <x:v>600000</x:v>
      </x:c>
      <x:c r="C9" s="8"/>
      <x:c r="D9" s="8" t="str">
        <x:v>Cash gap days</x:v>
      </x:c>
      <x:c r="E9" s="20" t="n">
        <x:f>MAX(0,B12-B11)</x:f>
        <x:v>30</x:v>
      </x:c>
      <x:c r="F9" s="8"/>
      <x:c r="G9" s="8"/>
      <x:c r="H9" s="8"/>
    </x:row>
    <x:row r="10">
      <x:c r="A10" s="8" t="str">
        <x:v>Operating cash cost</x:v>
      </x:c>
      <x:c r="B10" s="18" t="n">
        <x:v>120000</x:v>
      </x:c>
      <x:c r="C10" s="8"/>
      <x:c r="D10" s="8" t="str">
        <x:v>Finance cost</x:v>
      </x:c>
      <x:c r="E10" s="20" t="n">
        <x:f>E8*((B13*E9/365)+B14)</x:f>
        <x:v>18093.15068493151</x:v>
      </x:c>
      <x:c r="F10" s="8"/>
      <x:c r="G10" s="8"/>
      <x:c r="H10" s="8"/>
    </x:row>
    <x:row r="11">
      <x:c r="A11" s="8" t="str">
        <x:v>Supplier payment days</x:v>
      </x:c>
      <x:c r="B11" s="17" t="n">
        <x:v>15</x:v>
      </x:c>
      <x:c r="C11" s="8"/>
      <x:c r="D11" s="8" t="str">
        <x:v>Cash after collection</x:v>
      </x:c>
      <x:c r="E11" s="20" t="n">
        <x:f>B7-B9-B10-E10</x:f>
        <x:v>261906.84931506848</x:v>
      </x:c>
      <x:c r="F11" s="8"/>
      <x:c r="G11" s="8"/>
      <x:c r="H11" s="8"/>
    </x:row>
    <x:row r="12">
      <x:c r="A12" s="8" t="str">
        <x:v>Customer collection days</x:v>
      </x:c>
      <x:c r="B12" s="17" t="n">
        <x:v>45</x:v>
      </x:c>
      <x:c r="C12" s="8"/>
      <x:c r="D12" s="8" t="str">
        <x:v>Finance cost as percentage of contract</x:v>
      </x:c>
      <x:c r="E12" s="21" t="n">
        <x:f>IF(B7=0,0,E10/B7)</x:f>
        <x:v>0.01809315068493151</x:v>
      </x:c>
      <x:c r="F12" s="8"/>
      <x:c r="G12" s="8"/>
      <x:c r="H12" s="8"/>
    </x:row>
    <x:row r="13">
      <x:c r="A13" s="8" t="str">
        <x:v>Annual financing rate</x:v>
      </x:c>
      <x:c r="B13" s="19" t="n">
        <x:v>0.18</x:v>
      </x:c>
      <x:c r="C13" s="8"/>
      <x:c r="D13" s="8"/>
      <x:c r="E13" s="8"/>
      <x:c r="F13" s="8"/>
      <x:c r="G13" s="8"/>
      <x:c r="H13" s="8"/>
    </x:row>
    <x:row r="14">
      <x:c r="A14" s="8" t="str">
        <x:v>Facility fee percentage</x:v>
      </x:c>
      <x:c r="B14" s="19" t="n">
        <x:v>0.02</x:v>
      </x:c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13" t="str">
        <x:v>Scenario</x:v>
      </x:c>
      <x:c r="B16" s="13" t="str">
        <x:v>Collection days</x:v>
      </x:c>
      <x:c r="C16" s="13" t="str">
        <x:v>Input-cost multiplier</x:v>
      </x:c>
      <x:c r="D16" s="13" t="str">
        <x:v>Deposit percentage</x:v>
      </x:c>
      <x:c r="E16" s="13" t="str">
        <x:v>Working-capital draw</x:v>
      </x:c>
      <x:c r="F16" s="13" t="str">
        <x:v>Cash gap days</x:v>
      </x:c>
      <x:c r="G16" s="13" t="str">
        <x:v>Finance cost</x:v>
      </x:c>
      <x:c r="H16" s="13" t="str">
        <x:v>Cash after collection</x:v>
      </x:c>
    </x:row>
    <x:row r="17">
      <x:c r="A17" s="8" t="str">
        <x:v>Base</x:v>
      </x:c>
      <x:c r="B17" s="8" t="n">
        <x:f>B12</x:f>
        <x:v>45</x:v>
      </x:c>
      <x:c r="C17" s="21" t="n">
        <x:v>1</x:v>
      </x:c>
      <x:c r="D17" s="21" t="n">
        <x:f>B8</x:f>
        <x:v>0.2</x:v>
      </x:c>
      <x:c r="E17" s="20" t="n">
        <x:f>MAX(0,($B$9*C17)+$B$10-($B$7*D17))</x:f>
        <x:v>520000</x:v>
      </x:c>
      <x:c r="F17" s="8" t="n">
        <x:f>MAX(0,B17-$B$11)</x:f>
        <x:v>30</x:v>
      </x:c>
      <x:c r="G17" s="20" t="n">
        <x:f>E17*(($B$13*F17/365)+$B$14)</x:f>
        <x:v>18093.15068493151</x:v>
      </x:c>
      <x:c r="H17" s="20" t="n">
        <x:f>$B$7-($B$9*C17)-$B$10-G17</x:f>
        <x:v>261906.84931506848</x:v>
      </x:c>
    </x:row>
    <x:row r="18">
      <x:c r="A18" s="8" t="str">
        <x:v>Collection 14 days late</x:v>
      </x:c>
      <x:c r="B18" s="8" t="n">
        <x:f>B12+14</x:f>
        <x:v>59</x:v>
      </x:c>
      <x:c r="C18" s="21" t="n">
        <x:v>1</x:v>
      </x:c>
      <x:c r="D18" s="21" t="n">
        <x:f>B8</x:f>
        <x:v>0.2</x:v>
      </x:c>
      <x:c r="E18" s="20" t="n">
        <x:f>MAX(0,($B$9*C18)+$B$10-($B$7*D18))</x:f>
        <x:v>520000</x:v>
      </x:c>
      <x:c r="F18" s="8" t="n">
        <x:f>MAX(0,B18-$B$11)</x:f>
        <x:v>44</x:v>
      </x:c>
      <x:c r="G18" s="20" t="n">
        <x:f>E18*(($B$13*F18/365)+$B$14)</x:f>
        <x:v>21683.287671232876</x:v>
      </x:c>
      <x:c r="H18" s="20" t="n">
        <x:f>$B$7-($B$9*C18)-$B$10-G18</x:f>
        <x:v>258316.7123287671</x:v>
      </x:c>
    </x:row>
    <x:row r="19">
      <x:c r="A19" s="8" t="str">
        <x:v>Input cost 10% higher</x:v>
      </x:c>
      <x:c r="B19" s="8" t="n">
        <x:f>B12</x:f>
        <x:v>45</x:v>
      </x:c>
      <x:c r="C19" s="21" t="n">
        <x:v>1.1</x:v>
      </x:c>
      <x:c r="D19" s="21" t="n">
        <x:f>B8</x:f>
        <x:v>0.2</x:v>
      </x:c>
      <x:c r="E19" s="20" t="n">
        <x:f>MAX(0,($B$9*C19)+$B$10-($B$7*D19))</x:f>
        <x:v>580000</x:v>
      </x:c>
      <x:c r="F19" s="8" t="n">
        <x:f>MAX(0,B19-$B$11)</x:f>
        <x:v>30</x:v>
      </x:c>
      <x:c r="G19" s="20" t="n">
        <x:f>E19*(($B$13*F19/365)+$B$14)</x:f>
        <x:v>20180.821917808218</x:v>
      </x:c>
      <x:c r="H19" s="20" t="n">
        <x:f>$B$7-($B$9*C19)-$B$10-G19</x:f>
        <x:v>199819.1780821918</x:v>
      </x:c>
    </x:row>
    <x:row r="20">
      <x:c r="A20" s="8" t="str">
        <x:v>Late collection and higher input cost</x:v>
      </x:c>
      <x:c r="B20" s="8" t="n">
        <x:f>B12+14</x:f>
        <x:v>59</x:v>
      </x:c>
      <x:c r="C20" s="21" t="n">
        <x:v>1.1</x:v>
      </x:c>
      <x:c r="D20" s="21" t="n">
        <x:f>B8</x:f>
        <x:v>0.2</x:v>
      </x:c>
      <x:c r="E20" s="20" t="n">
        <x:f>MAX(0,($B$9*C20)+$B$10-($B$7*D20))</x:f>
        <x:v>580000</x:v>
      </x:c>
      <x:c r="F20" s="8" t="n">
        <x:f>MAX(0,B20-$B$11)</x:f>
        <x:v>44</x:v>
      </x:c>
      <x:c r="G20" s="20" t="n">
        <x:f>E20*(($B$13*F20/365)+$B$14)</x:f>
        <x:v>24185.20547945205</x:v>
      </x:c>
      <x:c r="H20" s="20" t="n">
        <x:f>$B$7-($B$9*C20)-$B$10-G20</x:f>
        <x:v>195814.79452054796</x:v>
      </x:c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27" t="str">
        <x:v>The model holds contract value fixed and changes selected operating assumptions. It shows why a business must compare its largest cash gap with the expected collection date, even when the final order margin remains positive.</x:v>
      </x:c>
      <x:c r="B23" s="27"/>
      <x:c r="C23" s="27"/>
      <x:c r="D23" s="27"/>
      <x:c r="E23" s="27"/>
      <x:c r="F23" s="27"/>
      <x:c r="G23" s="27"/>
      <x:c r="H23" s="27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</x:sheetData>
  <x:mergeCells>
    <x:mergeCell ref="A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8" hidden="0" customWidth="1"/>
    <x:col min="4" max="4" width="26" hidden="0" customWidth="1"/>
    <x:col min="5" max="5" width="16" hidden="0" customWidth="1"/>
    <x:col min="6" max="6" width="27" hidden="0" customWidth="1"/>
    <x:col min="7" max="7" width="24" hidden="0" customWidth="1"/>
    <x:col min="8" max="8" width="16" hidden="0" customWidth="1"/>
    <x:col min="9" max="9" width="50" hidden="0" customWidth="1"/>
    <x:col min="10" max="10" width="3" hidden="0" customWidth="1"/>
    <x:col min="11" max="11" width="3" hidden="0" customWidth="1"/>
    <x:col min="12" max="12" width="27" hidden="0" customWidth="1"/>
    <x:col min="13" max="13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>
      <x:c r="A2" s="9" t="str">
        <x:v>Entity review and cash-flow classification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10" t="str">
        <x:v>Fictional ledger. Resolve relationships and classify evidence before treating raw credits as operating receipts.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A4" s="13" t="str">
        <x:v>Summary metric</x:v>
      </x:c>
      <x:c r="B4" s="13" t="str">
        <x:v>Amount or ratio</x:v>
      </x:c>
      <x:c r="C4" s="13" t="str">
        <x:v>Formula or interpretation</x:v>
      </x:c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8" t="str">
        <x:v>All observed account credits</x:v>
      </x:c>
      <x:c r="B5" s="20" t="n">
        <x:f>SUM($E$15:$E$23)</x:f>
        <x:v>580000</x:v>
      </x:c>
      <x:c r="C5" s="8" t="str">
        <x:v>Sum of the fictional ledger.</x:v>
      </x:c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>
      <x:c r="A6" s="8" t="str">
        <x:v>Less clearly non-operating credits</x:v>
      </x:c>
      <x:c r="B6" s="20" t="n">
        <x:f>SUMIFS($E$15:$E$23,$G$15:$G$23,"Exclude non-operating")</x:f>
        <x:v>140000</x:v>
      </x:c>
      <x:c r="C6" s="8" t="str">
        <x:v>Own-account transfers, refunds, and loan drawdowns.</x:v>
      </x:c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</x:row>
    <x:row r="7">
      <x:c r="A7" s="8" t="str">
        <x:v>Less amounts awaiting corroboration</x:v>
      </x:c>
      <x:c r="B7" s="20" t="n">
        <x:f>SUMIFS($E$15:$E$23,$G$15:$G$23,"Review")</x:f>
        <x:v>60000</x:v>
      </x:c>
      <x:c r="C7" s="8" t="str">
        <x:v>Potential related-party amount held outside automatic sales.</x:v>
      </x:c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</x:row>
    <x:row r="8">
      <x:c r="A8" s="8" t="str">
        <x:v>Reviewed customer receipts</x:v>
      </x:c>
      <x:c r="B8" s="20" t="n">
        <x:f>SUMIFS($E$15:$E$23,$G$15:$G$23,"Include")</x:f>
        <x:v>380000</x:v>
      </x:c>
      <x:c r="C8" s="8" t="str">
        <x:v>Only entries classified as Include.</x:v>
      </x:c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</x:row>
    <x:row r="9">
      <x:c r="A9" s="8" t="str">
        <x:v>Largest economic customer group</x:v>
      </x:c>
      <x:c r="B9" s="20" t="n">
        <x:f>MAX($M$15:$M$18)</x:f>
        <x:v>155000</x:v>
      </x:c>
      <x:c r="C9" s="8" t="str">
        <x:v>Largest included group after normalization.</x:v>
      </x:c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8" t="str">
        <x:v>Economic-group concentration</x:v>
      </x:c>
      <x:c r="B10" s="21" t="n">
        <x:f>IF(B8=0,0,B9/B8)</x:f>
        <x:v>0.40789473684210525</x:v>
      </x:c>
      <x:c r="C10" s="8" t="str">
        <x:v>Largest group divided by reviewed customer receipts.</x:v>
      </x:c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>
      <x:c r="A14" s="13" t="str">
        <x:v>Date</x:v>
      </x:c>
      <x:c r="B14" s="13" t="str">
        <x:v>Counterparty as recorded</x:v>
      </x:c>
      <x:c r="C14" s="13" t="str">
        <x:v>Channel</x:v>
      </x:c>
      <x:c r="D14" s="13" t="str">
        <x:v>Initial classification</x:v>
      </x:c>
      <x:c r="E14" s="13" t="str">
        <x:v>Credit (KES)</x:v>
      </x:c>
      <x:c r="F14" s="13" t="str">
        <x:v>Economic group</x:v>
      </x:c>
      <x:c r="G14" s="13" t="str">
        <x:v>Treatment</x:v>
      </x:c>
      <x:c r="H14" s="13" t="str">
        <x:v>Evidence tier</x:v>
      </x:c>
      <x:c r="I14" s="13" t="str">
        <x:v>Reason or next action</x:v>
      </x:c>
      <x:c r="J14" s="8"/>
      <x:c r="K14" s="8"/>
      <x:c r="L14" s="13" t="str">
        <x:v>Economic group</x:v>
      </x:c>
      <x:c r="M14" s="13" t="str">
        <x:v>Included receipts</x:v>
      </x:c>
      <x:c r="N14" s="8"/>
    </x:row>
    <x:row r="15">
      <x:c r="A15" s="28" t="n">
        <x:v>46266</x:v>
      </x:c>
      <x:c r="B15" s="8" t="str">
        <x:v>East Africa Foods Ltd</x:v>
      </x:c>
      <x:c r="C15" s="8" t="str">
        <x:v>Bank transfer</x:v>
      </x:c>
      <x:c r="D15" s="8" t="str">
        <x:v>Customer receipt</x:v>
      </x:c>
      <x:c r="E15" s="20" t="n">
        <x:v>90000</x:v>
      </x:c>
      <x:c r="F15" s="8" t="str">
        <x:v>East Africa Foods group</x:v>
      </x:c>
      <x:c r="G15" s="8" t="str">
        <x:v>Include</x:v>
      </x:c>
      <x:c r="H15" s="8" t="str">
        <x:v>Confirmed</x:v>
      </x:c>
      <x:c r="I15" s="8" t="str">
        <x:v>Invoice and delivery record match.</x:v>
      </x:c>
      <x:c r="J15" s="8"/>
      <x:c r="K15" s="8"/>
      <x:c r="L15" s="8" t="str">
        <x:v>East Africa Foods group</x:v>
      </x:c>
      <x:c r="M15" s="20" t="n">
        <x:f>SUMIFS($E$15:$E$23,$F$15:$F$23,L15,$G$15:$G$23,"Include")</x:f>
        <x:v>155000</x:v>
      </x:c>
      <x:c r="N15" s="8"/>
    </x:row>
    <x:row r="16">
      <x:c r="A16" s="28" t="n">
        <x:v>46267</x:v>
      </x:c>
      <x:c r="B16" s="8" t="str">
        <x:v>E.A. Food Processors</x:v>
      </x:c>
      <x:c r="C16" s="8" t="str">
        <x:v>Mobile money</x:v>
      </x:c>
      <x:c r="D16" s="8" t="str">
        <x:v>Customer receipt</x:v>
      </x:c>
      <x:c r="E16" s="20" t="n">
        <x:v>65000</x:v>
      </x:c>
      <x:c r="F16" s="8" t="str">
        <x:v>East Africa Foods group</x:v>
      </x:c>
      <x:c r="G16" s="8" t="str">
        <x:v>Include</x:v>
      </x:c>
      <x:c r="H16" s="8" t="str">
        <x:v>Confirmed</x:v>
      </x:c>
      <x:c r="I16" s="8" t="str">
        <x:v>Trading name resolves to the same buyer.</x:v>
      </x:c>
      <x:c r="J16" s="8"/>
      <x:c r="K16" s="8"/>
      <x:c r="L16" s="8" t="str">
        <x:v>Yummy Ltd</x:v>
      </x:c>
      <x:c r="M16" s="20" t="n">
        <x:f>SUMIFS($E$15:$E$23,$F$15:$F$23,L16,$G$15:$G$23,"Include")</x:f>
        <x:v>90000</x:v>
      </x:c>
      <x:c r="N16" s="8"/>
    </x:row>
    <x:row r="17">
      <x:c r="A17" s="28" t="n">
        <x:v>46269</x:v>
      </x:c>
      <x:c r="B17" s="8" t="str">
        <x:v>Yummy Ltd</x:v>
      </x:c>
      <x:c r="C17" s="8" t="str">
        <x:v>Bank transfer</x:v>
      </x:c>
      <x:c r="D17" s="8" t="str">
        <x:v>Customer receipt</x:v>
      </x:c>
      <x:c r="E17" s="20" t="n">
        <x:v>90000</x:v>
      </x:c>
      <x:c r="F17" s="8" t="str">
        <x:v>Yummy Ltd</x:v>
      </x:c>
      <x:c r="G17" s="8" t="str">
        <x:v>Include</x:v>
      </x:c>
      <x:c r="H17" s="8" t="str">
        <x:v>Confirmed</x:v>
      </x:c>
      <x:c r="I17" s="8" t="str">
        <x:v>Invoice and receipt match.</x:v>
      </x:c>
      <x:c r="J17" s="8"/>
      <x:c r="K17" s="8"/>
      <x:c r="L17" s="8" t="str">
        <x:v>Urban Grocers</x:v>
      </x:c>
      <x:c r="M17" s="20" t="n">
        <x:f>SUMIFS($E$15:$E$23,$F$15:$F$23,L17,$G$15:$G$23,"Include")</x:f>
        <x:v>75000</x:v>
      </x:c>
      <x:c r="N17" s="8"/>
    </x:row>
    <x:row r="18">
      <x:c r="A18" s="28" t="n">
        <x:v>46270</x:v>
      </x:c>
      <x:c r="B18" s="8" t="str">
        <x:v>Urban Grocers</x:v>
      </x:c>
      <x:c r="C18" s="8" t="str">
        <x:v>Bank transfer</x:v>
      </x:c>
      <x:c r="D18" s="8" t="str">
        <x:v>Customer receipt</x:v>
      </x:c>
      <x:c r="E18" s="20" t="n">
        <x:v>75000</x:v>
      </x:c>
      <x:c r="F18" s="8" t="str">
        <x:v>Urban Grocers</x:v>
      </x:c>
      <x:c r="G18" s="8" t="str">
        <x:v>Include</x:v>
      </x:c>
      <x:c r="H18" s="8" t="str">
        <x:v>Confirmed</x:v>
      </x:c>
      <x:c r="I18" s="8" t="str">
        <x:v>Invoice and receipt match.</x:v>
      </x:c>
      <x:c r="J18" s="8"/>
      <x:c r="K18" s="8"/>
      <x:c r="L18" s="8" t="str">
        <x:v>Retail cash collections</x:v>
      </x:c>
      <x:c r="M18" s="20" t="n">
        <x:f>SUMIFS($E$15:$E$23,$F$15:$F$23,L18,$G$15:$G$23,"Include")</x:f>
        <x:v>60000</x:v>
      </x:c>
      <x:c r="N18" s="8"/>
    </x:row>
    <x:row r="19">
      <x:c r="A19" s="28" t="n">
        <x:v>46272</x:v>
      </x:c>
      <x:c r="B19" s="8" t="str">
        <x:v>Retail cash collections</x:v>
      </x:c>
      <x:c r="C19" s="8" t="str">
        <x:v>Merchant settlement</x:v>
      </x:c>
      <x:c r="D19" s="8" t="str">
        <x:v>Customer receipt</x:v>
      </x:c>
      <x:c r="E19" s="20" t="n">
        <x:v>60000</x:v>
      </x:c>
      <x:c r="F19" s="8" t="str">
        <x:v>Retail cash collections</x:v>
      </x:c>
      <x:c r="G19" s="8" t="str">
        <x:v>Include</x:v>
      </x:c>
      <x:c r="H19" s="8" t="str">
        <x:v>Moderate</x:v>
      </x:c>
      <x:c r="I19" s="8" t="str">
        <x:v>Settlement statement supports aggregate sales.</x:v>
      </x:c>
      <x:c r="J19" s="8"/>
      <x:c r="K19" s="8"/>
      <x:c r="L19" s="8"/>
      <x:c r="M19" s="8"/>
      <x:c r="N19" s="8"/>
    </x:row>
    <x:row r="20">
      <x:c r="A20" s="28" t="n">
        <x:v>46273</x:v>
      </x:c>
      <x:c r="B20" s="8" t="str">
        <x:v>Nevil personal account</x:v>
      </x:c>
      <x:c r="C20" s="8" t="str">
        <x:v>Bank transfer</x:v>
      </x:c>
      <x:c r="D20" s="8" t="str">
        <x:v>Own-account transfer</x:v>
      </x:c>
      <x:c r="E20" s="20" t="n">
        <x:v>90000</x:v>
      </x:c>
      <x:c r="F20" s="8" t="str">
        <x:v>Owner accounts</x:v>
      </x:c>
      <x:c r="G20" s="8" t="str">
        <x:v>Exclude non-operating</x:v>
      </x:c>
      <x:c r="H20" s="8" t="str">
        <x:v>Confirmed</x:v>
      </x:c>
      <x:c r="I20" s="8" t="str">
        <x:v>Declared linked-account transfer.</x:v>
      </x:c>
      <x:c r="J20" s="8"/>
      <x:c r="K20" s="8"/>
      <x:c r="L20" s="8"/>
      <x:c r="M20" s="8"/>
      <x:c r="N20" s="8"/>
    </x:row>
    <x:row r="21">
      <x:c r="A21" s="28" t="n">
        <x:v>46274</x:v>
      </x:c>
      <x:c r="B21" s="8" t="str">
        <x:v>Customer refund clearing</x:v>
      </x:c>
      <x:c r="C21" s="8" t="str">
        <x:v>Bank transfer</x:v>
      </x:c>
      <x:c r="D21" s="8" t="str">
        <x:v>Refund</x:v>
      </x:c>
      <x:c r="E21" s="20" t="n">
        <x:v>10000</x:v>
      </x:c>
      <x:c r="F21" s="8" t="str">
        <x:v>Refund</x:v>
      </x:c>
      <x:c r="G21" s="8" t="str">
        <x:v>Exclude non-operating</x:v>
      </x:c>
      <x:c r="H21" s="8" t="str">
        <x:v>Confirmed</x:v>
      </x:c>
      <x:c r="I21" s="8" t="str">
        <x:v>Refund record supplied.</x:v>
      </x:c>
      <x:c r="J21" s="8"/>
      <x:c r="K21" s="8"/>
      <x:c r="L21" s="8"/>
      <x:c r="M21" s="8"/>
      <x:c r="N21" s="8"/>
    </x:row>
    <x:row r="22">
      <x:c r="A22" s="28" t="n">
        <x:v>46275</x:v>
      </x:c>
      <x:c r="B22" s="8" t="str">
        <x:v>Invoice advance facility</x:v>
      </x:c>
      <x:c r="C22" s="8" t="str">
        <x:v>Bank transfer</x:v>
      </x:c>
      <x:c r="D22" s="8" t="str">
        <x:v>Loan drawdown</x:v>
      </x:c>
      <x:c r="E22" s="20" t="n">
        <x:v>40000</x:v>
      </x:c>
      <x:c r="F22" s="8" t="str">
        <x:v>Lender</x:v>
      </x:c>
      <x:c r="G22" s="8" t="str">
        <x:v>Exclude non-operating</x:v>
      </x:c>
      <x:c r="H22" s="8" t="str">
        <x:v>Confirmed</x:v>
      </x:c>
      <x:c r="I22" s="8" t="str">
        <x:v>Facility disbursement record.</x:v>
      </x:c>
      <x:c r="J22" s="8"/>
      <x:c r="K22" s="8"/>
      <x:c r="L22" s="8"/>
      <x:c r="M22" s="8"/>
      <x:c r="N22" s="8"/>
    </x:row>
    <x:row r="23">
      <x:c r="A23" s="28" t="n">
        <x:v>46276</x:v>
      </x:c>
      <x:c r="B23" s="8" t="str">
        <x:v>Pamoja Holdings Ltd</x:v>
      </x:c>
      <x:c r="C23" s="8" t="str">
        <x:v>Bank transfer</x:v>
      </x:c>
      <x:c r="D23" s="8" t="str">
        <x:v>Potential director-linked flow</x:v>
      </x:c>
      <x:c r="E23" s="20" t="n">
        <x:v>60000</x:v>
      </x:c>
      <x:c r="F23" s="8" t="str">
        <x:v>Pamoja group</x:v>
      </x:c>
      <x:c r="G23" s="8" t="str">
        <x:v>Review</x:v>
      </x:c>
      <x:c r="H23" s="8" t="str">
        <x:v>Plausible</x:v>
      </x:c>
      <x:c r="I23" s="8" t="str">
        <x:v>Obtain independent trade evidence before including as sales.</x:v>
      </x:c>
      <x:c r="J23" s="8"/>
      <x:c r="K23" s="8"/>
      <x:c r="L23" s="8"/>
      <x:c r="M23" s="8"/>
      <x:c r="N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>
      <x:c r="A26" s="27" t="str">
        <x:v>Classification principle: include an item as operating receipts only when evidence supports it. A matching name, shared identifier, or related-party flag starts a review. It does not establish fraud or justify an unexplained automated conclusion.</x:v>
      </x:c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</x:row>
  </x:sheetData>
  <x:mergeCells>
    <x:mergeCell ref="A26:N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8" hidden="0" customWidth="1"/>
    <x:col min="4" max="4" width="56" hidden="0" customWidth="1"/>
    <x:col min="5" max="5" width="3" hidden="0" customWidth="1"/>
    <x:col min="6" max="6" width="24" hidden="0" customWidth="1"/>
    <x:col min="7" max="7" width="13" hidden="0" customWidth="1"/>
  </x:cols>
  <x:sheetData>
    <x:row r="1">
      <x:c r="A1" s="8"/>
      <x:c r="B1" s="8"/>
      <x:c r="C1" s="8"/>
      <x:c r="D1" s="8"/>
      <x:c r="E1" s="8"/>
      <x:c r="F1" s="8"/>
      <x:c r="G1" s="8"/>
    </x:row>
    <x:row r="2">
      <x:c r="A2" s="9" t="str">
        <x:v>Sustainable-credit preparation checklist</x:v>
      </x:c>
      <x:c r="B2" s="8"/>
      <x:c r="C2" s="8"/>
      <x:c r="D2" s="8"/>
      <x:c r="E2" s="8"/>
      <x:c r="F2" s="8"/>
      <x:c r="G2" s="8"/>
    </x:row>
    <x:row r="3">
      <x:c r="A3" s="10" t="str">
        <x:v>Update amber status cells for a specific facility. Copy this tab before using it for another application.</x:v>
      </x:c>
      <x:c r="B3" s="8"/>
      <x:c r="C3" s="8"/>
      <x:c r="D3" s="8"/>
      <x:c r="E3" s="8"/>
      <x:c r="F3" s="8"/>
      <x:c r="G3" s="8"/>
    </x:row>
    <x:row r="4">
      <x:c r="A4" s="11"/>
      <x:c r="B4" s="11"/>
      <x:c r="C4" s="11"/>
      <x:c r="D4" s="11"/>
      <x:c r="E4" s="11"/>
      <x:c r="F4" s="11"/>
      <x:c r="G4" s="11"/>
    </x:row>
    <x:row r="5">
      <x:c r="A5" s="8"/>
      <x:c r="B5" s="8"/>
      <x:c r="C5" s="8"/>
      <x:c r="D5" s="8"/>
      <x:c r="E5" s="8"/>
      <x:c r="F5" s="8"/>
      <x:c r="G5" s="8"/>
    </x:row>
    <x:row r="6">
      <x:c r="A6" s="8"/>
      <x:c r="B6" s="8"/>
      <x:c r="C6" s="8"/>
      <x:c r="D6" s="8"/>
      <x:c r="E6" s="8"/>
      <x:c r="F6" s="8"/>
      <x:c r="G6" s="8"/>
    </x:row>
    <x:row r="7">
      <x:c r="A7" s="13" t="str">
        <x:v>Requirement</x:v>
      </x:c>
      <x:c r="B7" s="13" t="str">
        <x:v>Status</x:v>
      </x:c>
      <x:c r="C7" s="13" t="str">
        <x:v>Why it matters</x:v>
      </x:c>
      <x:c r="D7" s="13" t="str">
        <x:v>Evidence or next action</x:v>
      </x:c>
      <x:c r="E7" s="8"/>
      <x:c r="F7" s="13" t="str">
        <x:v>Checklist summary</x:v>
      </x:c>
      <x:c r="G7" s="13" t="str">
        <x:v>Count</x:v>
      </x:c>
    </x:row>
    <x:row r="8">
      <x:c r="A8" s="8" t="str">
        <x:v>Specific buyer and accepted order</x:v>
      </x:c>
      <x:c r="B8" s="17" t="str">
        <x:v>Ready</x:v>
      </x:c>
      <x:c r="C8" s="8" t="str">
        <x:v>Connects a facility to a recorded commercial purpose.</x:v>
      </x:c>
      <x:c r="D8" s="8" t="str">
        <x:v>Order, invoice, contract, or accepted purchase order.</x:v>
      </x:c>
      <x:c r="E8" s="8"/>
      <x:c r="F8" s="8" t="str">
        <x:v>Ready</x:v>
      </x:c>
      <x:c r="G8" s="8" t="n">
        <x:f>COUNTIF($B$8:$B$20,"Ready")</x:f>
        <x:v>5</x:v>
      </x:c>
    </x:row>
    <x:row r="9">
      <x:c r="A9" s="8" t="str">
        <x:v>Price and incremental cost build</x:v>
      </x:c>
      <x:c r="B9" s="17" t="str">
        <x:v>Ready</x:v>
      </x:c>
      <x:c r="C9" s="8" t="str">
        <x:v>Tests whether the order retains contribution after finance.</x:v>
      </x:c>
      <x:c r="D9" s="8" t="str">
        <x:v>Quotation, supplier price, production, freight, and selling costs.</x:v>
      </x:c>
      <x:c r="E9" s="8"/>
      <x:c r="F9" s="8" t="str">
        <x:v>Needs work</x:v>
      </x:c>
      <x:c r="G9" s="8" t="n">
        <x:f>COUNTIF($B$8:$B$20,"Needs work")</x:f>
        <x:v>8</x:v>
      </x:c>
    </x:row>
    <x:row r="10">
      <x:c r="A10" s="8" t="str">
        <x:v>Dated cash calendar</x:v>
      </x:c>
      <x:c r="B10" s="17" t="str">
        <x:v>Needs work</x:v>
      </x:c>
      <x:c r="C10" s="8" t="str">
        <x:v>Identifies the largest cash gap and repayment source.</x:v>
      </x:c>
      <x:c r="D10" s="8" t="str">
        <x:v>Deposit, supplier payment, wages, delivery, collection, and instalment dates.</x:v>
      </x:c>
      <x:c r="E10" s="8"/>
      <x:c r="F10" s="8" t="str">
        <x:v>Total items</x:v>
      </x:c>
      <x:c r="G10" s="8" t="n">
        <x:f>COUNTA($A$8:$A$20)</x:f>
        <x:v>13</x:v>
      </x:c>
    </x:row>
    <x:row r="11">
      <x:c r="A11" s="8" t="str">
        <x:v>Reconciled receipt record</x:v>
      </x:c>
      <x:c r="B11" s="17" t="str">
        <x:v>Needs work</x:v>
      </x:c>
      <x:c r="C11" s="8" t="str">
        <x:v>Shows when observed activity becomes usable cash.</x:v>
      </x:c>
      <x:c r="D11" s="8" t="str">
        <x:v>Bank or mobile-money reconciliation and aged receivables.</x:v>
      </x:c>
      <x:c r="E11" s="8"/>
      <x:c r="F11" s="8"/>
      <x:c r="G11" s="8"/>
    </x:row>
    <x:row r="12">
      <x:c r="A12" s="8" t="str">
        <x:v>Inventory and receivables status</x:v>
      </x:c>
      <x:c r="B12" s="17" t="str">
        <x:v>Needs work</x:v>
      </x:c>
      <x:c r="C12" s="8" t="str">
        <x:v>Prevents a new order from masking old cash commitments.</x:v>
      </x:c>
      <x:c r="D12" s="8" t="str">
        <x:v>Stock record, aged receivables, and collection follow-up.</x:v>
      </x:c>
      <x:c r="E12" s="8"/>
      <x:c r="F12" s="8"/>
      <x:c r="G12" s="8"/>
    </x:row>
    <x:row r="13">
      <x:c r="A13" s="8" t="str">
        <x:v>Existing debts and commitments</x:v>
      </x:c>
      <x:c r="B13" s="17" t="str">
        <x:v>Ready</x:v>
      </x:c>
      <x:c r="C13" s="8" t="str">
        <x:v>Shows repayments that compete for the same cash.</x:v>
      </x:c>
      <x:c r="D13" s="8" t="str">
        <x:v>Loan schedules, guarantees, supplier credit, rent, and payroll.</x:v>
      </x:c>
      <x:c r="E13" s="8"/>
      <x:c r="F13" s="8"/>
      <x:c r="G13" s="8"/>
    </x:row>
    <x:row r="14">
      <x:c r="A14" s="8" t="str">
        <x:v>Business identity and authority</x:v>
      </x:c>
      <x:c r="B14" s="17" t="str">
        <x:v>Ready</x:v>
      </x:c>
      <x:c r="C14" s="8" t="str">
        <x:v>Confirms who can bind the business and its accounts.</x:v>
      </x:c>
      <x:c r="D14" s="8" t="str">
        <x:v>Registration, authorized signatories, declared business accounts.</x:v>
      </x:c>
      <x:c r="E14" s="8"/>
      <x:c r="F14" s="8"/>
      <x:c r="G14" s="8"/>
    </x:row>
    <x:row r="15">
      <x:c r="A15" s="8" t="str">
        <x:v>Related-party and account disclosures</x:v>
      </x:c>
      <x:c r="B15" s="17" t="str">
        <x:v>Needs work</x:v>
      </x:c>
      <x:c r="C15" s="8" t="str">
        <x:v>Supports informed review of apparent counterparties.</x:v>
      </x:c>
      <x:c r="D15" s="8" t="str">
        <x:v>Material related parties, linked accounts, and transfer explanations.</x:v>
      </x:c>
      <x:c r="E15" s="8"/>
      <x:c r="F15" s="8"/>
      <x:c r="G15" s="8"/>
    </x:row>
    <x:row r="16">
      <x:c r="A16" s="8" t="str">
        <x:v>Comparable offer schedule</x:v>
      </x:c>
      <x:c r="B16" s="17" t="str">
        <x:v>Needs work</x:v>
      </x:c>
      <x:c r="C16" s="8" t="str">
        <x:v>Compares usable cash, finance cost, and dates on one basis.</x:v>
      </x:c>
      <x:c r="D16" s="8" t="str">
        <x:v>Interest, fees, security, currency, renewal, early and late terms.</x:v>
      </x:c>
      <x:c r="E16" s="8"/>
      <x:c r="F16" s="8"/>
      <x:c r="G16" s="8"/>
    </x:row>
    <x:row r="17">
      <x:c r="A17" s="8" t="str">
        <x:v>Lender and complaint route</x:v>
      </x:c>
      <x:c r="B17" s="17" t="str">
        <x:v>Ready</x:v>
      </x:c>
      <x:c r="C17" s="8" t="str">
        <x:v>Establishes legal counterparty and correction route.</x:v>
      </x:c>
      <x:c r="D17" s="8" t="str">
        <x:v>Agreement, lender identity, repayment recipient, complaints contact.</x:v>
      </x:c>
      <x:c r="E17" s="8"/>
      <x:c r="F17" s="8"/>
      <x:c r="G17" s="8"/>
    </x:row>
    <x:row r="18">
      <x:c r="A18" s="8" t="str">
        <x:v>Use-of-funds record</x:v>
      </x:c>
      <x:c r="B18" s="17" t="str">
        <x:v>Needs work</x:v>
      </x:c>
      <x:c r="C18" s="8" t="str">
        <x:v>Tests whether facility use follows the stated purpose.</x:v>
      </x:c>
      <x:c r="D18" s="8" t="str">
        <x:v>Supplier payment, invoice, delivery, and disbursement records.</x:v>
      </x:c>
      <x:c r="E18" s="8"/>
      <x:c r="F18" s="8"/>
      <x:c r="G18" s="8"/>
    </x:row>
    <x:row r="19">
      <x:c r="A19" s="8" t="str">
        <x:v>Difficult-month scenario</x:v>
      </x:c>
      <x:c r="B19" s="17" t="str">
        <x:v>Needs work</x:v>
      </x:c>
      <x:c r="C19" s="8" t="str">
        <x:v>Tests delay, lower sales, higher inputs, and buffer.</x:v>
      </x:c>
      <x:c r="D19" s="8" t="str">
        <x:v>Update P2 Facility and record management action.</x:v>
      </x:c>
      <x:c r="E19" s="8"/>
      <x:c r="F19" s="8"/>
      <x:c r="G19" s="8"/>
    </x:row>
    <x:row r="20">
      <x:c r="A20" s="8" t="str">
        <x:v>Post-repayment review</x:v>
      </x:c>
      <x:c r="B20" s="17" t="str">
        <x:v>Needs work</x:v>
      </x:c>
      <x:c r="C20" s="8" t="str">
        <x:v>Improves the next facility and identifies record errors.</x:v>
      </x:c>
      <x:c r="D20" s="8" t="str">
        <x:v>Compare actual costs, fees, collection, and repayment with plan.</x:v>
      </x:c>
      <x:c r="E20" s="8"/>
      <x:c r="F20" s="8"/>
      <x:c r="G20" s="8"/>
    </x:row>
    <x:row r="21">
      <x:c r="A21" s="8"/>
      <x:c r="B21" s="8"/>
      <x:c r="C21" s="8"/>
      <x:c r="D21" s="8"/>
      <x:c r="E21" s="8"/>
      <x:c r="F21" s="8"/>
      <x:c r="G21" s="8"/>
    </x:row>
    <x:row r="22">
      <x:c r="A22" s="8"/>
      <x:c r="B22" s="8"/>
      <x:c r="C22" s="8"/>
      <x:c r="D22" s="8"/>
      <x:c r="E22" s="8"/>
      <x:c r="F22" s="8"/>
      <x:c r="G22" s="8"/>
    </x:row>
    <x:row r="23">
      <x:c r="A23" s="27" t="str">
        <x:v>Suggested status values: Ready, Needs work, or Not applicable. A lender may request different documents. Keep evidence current and explain material changes in the commercial relationship or cash flow.</x:v>
      </x:c>
      <x:c r="B23" s="27"/>
      <x:c r="C23" s="27"/>
      <x:c r="D23" s="27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</x:sheetData>
  <x:mergeCells>
    <x:mergeCell ref="A23:D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65" hidden="0" customWidth="1"/>
    <x:col min="3" max="3" width="38" hidden="0" customWidth="1"/>
  </x:cols>
  <x:sheetData>
    <x:row r="1">
      <x:c r="A1" s="8"/>
      <x:c r="B1" s="8"/>
      <x:c r="C1" s="8"/>
    </x:row>
    <x:row r="2">
      <x:c r="A2" s="9" t="str">
        <x:v>Sources, formulas, and model notes</x:v>
      </x:c>
      <x:c r="B2" s="8"/>
      <x:c r="C2" s="8"/>
    </x:row>
    <x:row r="3">
      <x:c r="A3" s="10" t="str">
        <x:v>This tab states reference material and formula meaning. It does not provide legal, tax, or lending advice.</x:v>
      </x:c>
      <x:c r="B3" s="8"/>
      <x:c r="C3" s="8"/>
    </x:row>
    <x:row r="4">
      <x:c r="A4" s="11"/>
      <x:c r="B4" s="11"/>
      <x:c r="C4" s="11"/>
    </x:row>
    <x:row r="5">
      <x:c r="A5" s="8"/>
      <x:c r="B5" s="8"/>
      <x:c r="C5" s="8"/>
    </x:row>
    <x:row r="6">
      <x:c r="A6" s="13" t="str">
        <x:v>Reference</x:v>
      </x:c>
      <x:c r="B6" s="13" t="str">
        <x:v>Purpose in this workbook</x:v>
      </x:c>
      <x:c r="C6" s="13" t="str">
        <x:v>Where reflected</x:v>
      </x:c>
    </x:row>
    <x:row r="7">
      <x:c r="A7" s="8" t="str">
        <x:v>AMBC Part 1: Following African Capital into Kenya</x:v>
      </x:c>
      <x:c r="B7" s="8" t="str">
        <x:v>Capital-release calculation and regional-order preparation file.</x:v>
      </x:c>
      <x:c r="C7" s="8" t="str">
        <x:v>P1 Cash Cycle and Credit Readiness.</x:v>
      </x:c>
    </x:row>
    <x:row r="8">
      <x:c r="A8" s="8" t="str">
        <x:v>AMBC Part 2: Making Business Credit Work in Kenya</x:v>
      </x:c>
      <x:c r="B8" s="8" t="str">
        <x:v>Facility timing, sustainable-credit checklist, and entity-resolution sequence.</x:v>
      </x:c>
      <x:c r="C8" s="8" t="str">
        <x:v>P2 Facility, Entity Review, Credit Readiness.</x:v>
      </x:c>
    </x:row>
    <x:row r="9">
      <x:c r="A9" s="8" t="str">
        <x:v>Basel Committee, Principles for the Management of Credit Risk, 2025</x:v>
      </x:c>
      <x:c r="B9" s="8" t="str">
        <x:v>Connected-counterparty treatment and informed assessment.</x:v>
      </x:c>
      <x:c r="C9" s="8" t="str">
        <x:v>Entity Review notes.</x:v>
      </x:c>
    </x:row>
    <x:row r="10">
      <x:c r="A10" s="8" t="str">
        <x:v>Financial Action Task Force, Beneficial Ownership Guidance, 2023</x:v>
      </x:c>
      <x:c r="B10" s="8" t="str">
        <x:v>Combining more than one source when resolving control information.</x:v>
      </x:c>
      <x:c r="C10" s="8" t="str">
        <x:v>Entity Review notes.</x:v>
      </x:c>
    </x:row>
    <x:row r="11">
      <x:c r="A11" s="8" t="str">
        <x:v>Republic of Kenya, Data Protection Act, 2019, sec. 35</x:v>
      </x:c>
      <x:c r="B11" s="8" t="str">
        <x:v>Automated-decision safeguard context.</x:v>
      </x:c>
      <x:c r="C11" s="8" t="str">
        <x:v>Entity Review and Read Me notes.</x:v>
      </x:c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13" t="str">
        <x:v>Formula</x:v>
      </x:c>
      <x:c r="B14" s="13" t="str">
        <x:v>Meaning</x:v>
      </x:c>
      <x:c r="C14" s="13" t="str">
        <x:v>Workbook location</x:v>
      </x:c>
    </x:row>
    <x:row r="15">
      <x:c r="A15" s="8" t="str">
        <x:v>Cash released = current cycle cash minus improved cycle cash</x:v>
      </x:c>
      <x:c r="B15" s="8" t="str">
        <x:v>Measures cash no longer committed to the same operating cycle.</x:v>
      </x:c>
      <x:c r="C15" s="8" t="str">
        <x:v>P1 Cash Cycle.</x:v>
      </x:c>
    </x:row>
    <x:row r="16">
      <x:c r="A16" s="8" t="str">
        <x:v>Cost avoided = cash released times annual rate</x:v>
      </x:c>
      <x:c r="B16" s="8" t="str">
        <x:v>Simple annual illustrative finance cost, not an APR disclosure.</x:v>
      </x:c>
      <x:c r="C16" s="8" t="str">
        <x:v>P1 Cash Cycle.</x:v>
      </x:c>
    </x:row>
    <x:row r="17">
      <x:c r="A17" s="8" t="str">
        <x:v>Working-capital draw = costs minus deposit</x:v>
      </x:c>
      <x:c r="B17" s="8" t="str">
        <x:v>Amount needed before collection, floored at zero.</x:v>
      </x:c>
      <x:c r="C17" s="8" t="str">
        <x:v>P2 Facility.</x:v>
      </x:c>
    </x:row>
    <x:row r="18">
      <x:c r="A18" s="8" t="str">
        <x:v>Finance cost = draw times rate times cash gap over 365 plus fee</x:v>
      </x:c>
      <x:c r="B18" s="8" t="str">
        <x:v>Combines simple time-based interest and stated fee.</x:v>
      </x:c>
      <x:c r="C18" s="8" t="str">
        <x:v>P2 Facility.</x:v>
      </x:c>
    </x:row>
    <x:row r="19">
      <x:c r="A19" s="8" t="str">
        <x:v>Reviewed customer receipts = included transactions</x:v>
      </x:c>
      <x:c r="B19" s="8" t="str">
        <x:v>Excludes non-operating entries and holds unresolved entries outside automatic sales treatment.</x:v>
      </x:c>
      <x:c r="C19" s="8" t="str">
        <x:v>Entity Review.</x:v>
      </x:c>
    </x:row>
    <x:row r="20">
      <x:c r="A20" s="8" t="str">
        <x:v>Customer-group concentration = largest group divided by reviewed receipts</x:v>
      </x:c>
      <x:c r="B20" s="8" t="str">
        <x:v>Shows how separate labels can understate concentration.</x:v>
      </x:c>
      <x:c r="C20" s="8" t="str">
        <x:v>Entity Review.</x:v>
      </x:c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27" t="str">
        <x:v>Model hygiene: replace illustrative amounts with dated source records; retain order, invoice, delivery, transaction, and ownership evidence; compare actual outcomes with the original scenario; and provide a route to correct an incorrect classification.</x:v>
      </x:c>
      <x:c r="B23" s="27"/>
      <x:c r="C23" s="27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</x:sheetData>
  <x:mergeCells>
    <x:mergeCell ref="A23:C23"/>
  </x:mergeCells>
  <x:pageMargins left="0.7" right="0.7" top="0.75" bottom="0.75" header="0.3" footer="0.3"/>
</x:worksheet>
</file>