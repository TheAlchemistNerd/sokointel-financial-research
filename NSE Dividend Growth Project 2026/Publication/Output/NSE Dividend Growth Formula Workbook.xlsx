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7a6729eb8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5056cf661eb4ed6"/>
    <x:sheet xmlns:r="http://schemas.openxmlformats.org/officeDocument/2006/relationships" name="Core Portfolio" sheetId="2" r:id="Rdff86522426a4be6"/>
    <x:sheet xmlns:r="http://schemas.openxmlformats.org/officeDocument/2006/relationships" name="DCA Plan" sheetId="3" r:id="R496eed8ae341421b"/>
    <x:sheet xmlns:r="http://schemas.openxmlformats.org/officeDocument/2006/relationships" name="Income Scenarios" sheetId="4" r:id="R1f55a496a78c4696"/>
    <x:sheet xmlns:r="http://schemas.openxmlformats.org/officeDocument/2006/relationships" name="Formula Dictionary" sheetId="5" r:id="R938361c5794d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0%"/>
    <x:numFmt numFmtId="202" formatCode="0"/>
    <x:numFmt numFmtId="203" formatCode="0.0%"/>
    <x:numFmt numFmtId="204" formatCode="#,##0"/>
  </x:numFmts>
  <x:fonts count="8">
    <x:font>
      <x:sz val="11"/>
      <x:name val="Carlito"/>
    </x:font>
    <x:font>
      <x:b/>
      <x:sz val="16"/>
      <x:color rgb="FF173D33"/>
      <x:name val="Arial"/>
    </x:font>
    <x:font>
      <x:i/>
      <x:sz val="10"/>
      <x:color rgb="FF66736A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sz val="9"/>
      <x:color rgb="FF00000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73D33"/>
      </x:patternFill>
    </x:fill>
    <x:fill>
      <x:patternFill patternType="solid">
        <x:fgColor rgb="FF24374B"/>
      </x:patternFill>
    </x:fill>
    <x:fill>
      <x:patternFill patternType="solid">
        <x:fgColor rgb="FFFFF2CC"/>
      </x:patternFill>
    </x:fill>
    <x:fill>
      <x:patternFill patternType="solid">
        <x:fgColor rgb="FFE8EDDF"/>
      </x:patternFill>
    </x:fill>
  </x:fills>
  <x:borders count="4">
    <x:border/>
    <x:border>
      <x:bottom style="thin">
        <x:color rgb="FFD8DED4"/>
      </x:bottom>
    </x:border>
    <x:border>
      <x:left style="thin">
        <x:color rgb="FFD8DED4"/>
      </x:left>
      <x:right style="thin">
        <x:color rgb="FFD8DED4"/>
      </x:right>
      <x:top style="thin">
        <x:color rgb="FFD8DED4"/>
      </x:top>
      <x:bottom style="thin">
        <x:color rgb="FFD8DED4"/>
      </x:bottom>
    </x:border>
    <x:border>
      <x:top style="double">
        <x:color rgb="FF173D3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201" fontId="5" fillId="4" borderId="2" xfId="0" applyNumberFormat="1" applyFont="1" applyFill="1" applyBorder="1" applyAlignment="1">
      <x:alignment vertical="center"/>
    </x:xf>
    <x:xf numFmtId="202" fontId="5" fillId="4" borderId="2" xfId="0" applyNumberFormat="1" applyFont="1" applyFill="1" applyBorder="1" applyAlignment="1">
      <x:alignment vertical="center"/>
    </x:xf>
    <x:xf numFmtId="203" fontId="5" fillId="4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203" fontId="4" fillId="0" borderId="2" xfId="0" applyNumberFormat="1" applyFont="1" applyFill="1" applyBorder="1" applyAlignment="1">
      <x:alignment vertical="center"/>
    </x:xf>
    <x:xf numFmtId="203" fontId="6" fillId="5" borderId="3" xfId="0" applyNumberFormat="1" applyFont="1" applyFill="1" applyBorder="1"/>
    <x:xf numFmtId="200" fontId="6" fillId="5" borderId="3" xfId="0" applyNumberFormat="1" applyFont="1" applyFill="1" applyBorder="1"/>
    <x:xf numFmtId="201" fontId="4" fillId="0" borderId="2" xfId="0" applyNumberFormat="1" applyFont="1" applyFill="1" applyBorder="1" applyAlignment="1">
      <x:alignment vertical="center"/>
    </x:xf>
    <x:xf numFmtId="201" fontId="6" fillId="5" borderId="3" xfId="0" applyNumberFormat="1" applyFont="1" applyFill="1" applyBorder="1"/>
    <x:xf numFmtId="204" fontId="4" fillId="0" borderId="2" xfId="0" applyNumberFormat="1" applyFont="1" applyFill="1" applyBorder="1" applyAlignment="1">
      <x:alignment vertical="center"/>
    </x:xf>
    <x:xf numFmtId="204" fontId="6" fillId="5" borderId="3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cb473d0444a50" /><Relationship Type="http://schemas.openxmlformats.org/officeDocument/2006/relationships/theme" Target="/xl/theme/theme1.xml" Id="Re45561f617f448d4" /><Relationship Type="http://schemas.openxmlformats.org/officeDocument/2006/relationships/sharedStrings" Target="/xl/sharedStrings.xml" Id="Rc690a0bd524c4be9" /><Relationship Type="http://schemas.openxmlformats.org/officeDocument/2006/relationships/worksheet" Target="/xl/worksheets/sheet1.xml" Id="R25056cf661eb4ed6" /><Relationship Type="http://schemas.openxmlformats.org/officeDocument/2006/relationships/worksheet" Target="/xl/worksheets/sheet2.xml" Id="Rdff86522426a4be6" /><Relationship Type="http://schemas.openxmlformats.org/officeDocument/2006/relationships/worksheet" Target="/xl/worksheets/sheet3.xml" Id="R496eed8ae341421b" /><Relationship Type="http://schemas.openxmlformats.org/officeDocument/2006/relationships/worksheet" Target="/xl/worksheets/sheet4.xml" Id="R1f55a496a78c4696" /><Relationship Type="http://schemas.openxmlformats.org/officeDocument/2006/relationships/worksheet" Target="/xl/worksheets/sheet5.xml" Id="R938361c5794d4e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D3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28" hidden="0" customWidth="1"/>
    <x:col min="7" max="7" width="18" hidden="0" customWidth="1"/>
    <x:col min="8" max="8" width="15" hidden="0" customWidth="1"/>
  </x:cols>
  <x:sheetData>
    <x:row r="1">
      <x:c r="A1" s="2" t="str">
        <x:v>NSE Dividend Growth DCA Inputs</x:v>
      </x:c>
      <x:c r="B1" s="3"/>
      <x:c r="C1" s="3"/>
      <x:c r="D1" s="3"/>
      <x:c r="E1" s="3"/>
      <x:c r="F1" s="3"/>
    </x:row>
    <x:row r="2">
      <x:c r="A2" s="4" t="str">
        <x:v>Research snapshot: 10 September 2026. All live prices require an update before use.</x:v>
      </x:c>
    </x:row>
    <x:row r="5">
      <x:c r="A5" s="6" t="str">
        <x:v>Portfolio inputs</x:v>
      </x:c>
    </x:row>
    <x:row r="6">
      <x:c r="A6" s="16" t="str">
        <x:v>Input</x:v>
      </x:c>
      <x:c r="B6" s="16" t="str">
        <x:v>Value</x:v>
      </x:c>
      <x:c r="C6" s="16" t="str">
        <x:v>Unit</x:v>
      </x:c>
    </x:row>
    <x:row r="7">
      <x:c r="A7" s="17" t="str">
        <x:v>Total cash</x:v>
      </x:c>
      <x:c r="B7" s="19" t="n">
        <x:v>100000</x:v>
      </x:c>
      <x:c r="C7" s="17" t="str">
        <x:v>KES</x:v>
      </x:c>
    </x:row>
    <x:row r="8">
      <x:c r="A8" s="17" t="str">
        <x:v>Maximum transaction cost</x:v>
      </x:c>
      <x:c r="B8" s="20" t="n">
        <x:v>0.021</x:v>
      </x:c>
      <x:c r="C8" s="17" t="str">
        <x:v>%</x:v>
      </x:c>
    </x:row>
    <x:row r="9">
      <x:c r="A9" s="17" t="str">
        <x:v>Deployment months</x:v>
      </x:c>
      <x:c r="B9" s="21" t="n">
        <x:v>3</x:v>
      </x:c>
      <x:c r="C9" s="17" t="str">
        <x:v>months</x:v>
      </x:c>
    </x:row>
    <x:row r="10">
      <x:c r="A10" s="17" t="str">
        <x:v>Resident withholding tax</x:v>
      </x:c>
      <x:c r="B10" s="20" t="n">
        <x:v>0.05</x:v>
      </x:c>
      <x:c r="C10" s="17" t="str">
        <x:v>%</x:v>
      </x:c>
    </x:row>
    <x:row r="11">
      <x:c r="A11" s="17" t="str">
        <x:v>Price reference date</x:v>
      </x:c>
      <x:c r="B11" s="18" t="str">
        <x:v>9 September 2026</x:v>
      </x:c>
      <x:c r="C11" s="17" t="str">
        <x:v>date</x:v>
      </x:c>
    </x:row>
    <x:row r="12">
      <x:c r="A12" s="17" t="str">
        <x:v>Research snapshot</x:v>
      </x:c>
      <x:c r="B12" s="17" t="str">
        <x:v>10 September 2026</x:v>
      </x:c>
      <x:c r="C12" s="17" t="str">
        <x:v>date</x:v>
      </x:c>
    </x:row>
    <x:row r="15">
      <x:c r="A15" s="6" t="str">
        <x:v>Core counter inputs</x:v>
      </x:c>
    </x:row>
    <x:row r="16">
      <x:c r="A16" s="16" t="str">
        <x:v>Counter</x:v>
      </x:c>
      <x:c r="B16" s="16" t="str">
        <x:v>Ticker</x:v>
      </x:c>
      <x:c r="C16" s="16" t="str">
        <x:v>Reference price</x:v>
      </x:c>
      <x:c r="D16" s="16" t="str">
        <x:v>Dividend per share</x:v>
      </x:c>
      <x:c r="E16" s="16" t="str">
        <x:v>Target weight</x:v>
      </x:c>
      <x:c r="F16" s="16" t="str">
        <x:v>Role</x:v>
      </x:c>
      <x:c r="G16" s="16" t="str">
        <x:v>Price date</x:v>
      </x:c>
      <x:c r="H16" s="16" t="str">
        <x:v>Source</x:v>
      </x:c>
    </x:row>
    <x:row r="17">
      <x:c r="A17" s="17" t="str">
        <x:v>Safaricom</x:v>
      </x:c>
      <x:c r="B17" s="17" t="str">
        <x:v>SCOM</x:v>
      </x:c>
      <x:c r="C17" s="19" t="n">
        <x:v>36.65</x:v>
      </x:c>
      <x:c r="D17" s="19" t="n">
        <x:v>2</x:v>
      </x:c>
      <x:c r="E17" s="22" t="n">
        <x:v>0.2</x:v>
      </x:c>
      <x:c r="F17" s="17" t="str">
        <x:v>Core growth and income</x:v>
      </x:c>
      <x:c r="G17" s="17" t="str">
        <x:v>9 September 2026</x:v>
      </x:c>
      <x:c r="H17" s="17" t="str">
        <x:v>myStocks [1]</x:v>
      </x:c>
    </x:row>
    <x:row r="18">
      <x:c r="A18" s="17" t="str">
        <x:v>Equity Group</x:v>
      </x:c>
      <x:c r="B18" s="17" t="str">
        <x:v>EQTY</x:v>
      </x:c>
      <x:c r="C18" s="19" t="n">
        <x:v>101.5</x:v>
      </x:c>
      <x:c r="D18" s="19" t="n">
        <x:v>5.75</x:v>
      </x:c>
      <x:c r="E18" s="22" t="n">
        <x:v>0.15</x:v>
      </x:c>
      <x:c r="F18" s="17" t="str">
        <x:v>Growth and income bank</x:v>
      </x:c>
      <x:c r="G18" s="17" t="str">
        <x:v>9 September 2026</x:v>
      </x:c>
      <x:c r="H18" s="17" t="str">
        <x:v>myStocks [1]</x:v>
      </x:c>
    </x:row>
    <x:row r="19">
      <x:c r="A19" s="17" t="str">
        <x:v>Co-operative Bank</x:v>
      </x:c>
      <x:c r="B19" s="17" t="str">
        <x:v>COOP</x:v>
      </x:c>
      <x:c r="C19" s="19" t="n">
        <x:v>37.85</x:v>
      </x:c>
      <x:c r="D19" s="19" t="n">
        <x:v>2.5</x:v>
      </x:c>
      <x:c r="E19" s="22" t="n">
        <x:v>0.15</x:v>
      </x:c>
      <x:c r="F19" s="17" t="str">
        <x:v>Growth and income bank</x:v>
      </x:c>
      <x:c r="G19" s="17" t="str">
        <x:v>9 September 2026</x:v>
      </x:c>
      <x:c r="H19" s="17" t="str">
        <x:v>myStocks [1]</x:v>
      </x:c>
    </x:row>
    <x:row r="20">
      <x:c r="A20" s="17" t="str">
        <x:v>Standard Chartered Kenya</x:v>
      </x:c>
      <x:c r="B20" s="17" t="str">
        <x:v>SCBK</x:v>
      </x:c>
      <x:c r="C20" s="19" t="n">
        <x:v>349.25</x:v>
      </x:c>
      <x:c r="D20" s="19" t="n">
        <x:v>31</x:v>
      </x:c>
      <x:c r="E20" s="22" t="n">
        <x:v>0.15</x:v>
      </x:c>
      <x:c r="F20" s="17" t="str">
        <x:v>Income bank</x:v>
      </x:c>
      <x:c r="G20" s="17" t="str">
        <x:v>9 September 2026</x:v>
      </x:c>
      <x:c r="H20" s="17" t="str">
        <x:v>myStocks [1]</x:v>
      </x:c>
    </x:row>
    <x:row r="21">
      <x:c r="A21" s="17" t="str">
        <x:v>BAT Kenya</x:v>
      </x:c>
      <x:c r="B21" s="17" t="str">
        <x:v>BAT</x:v>
      </x:c>
      <x:c r="C21" s="19" t="n">
        <x:v>559</x:v>
      </x:c>
      <x:c r="D21" s="19" t="n">
        <x:v>70</x:v>
      </x:c>
      <x:c r="E21" s="22" t="n">
        <x:v>0.15</x:v>
      </x:c>
      <x:c r="F21" s="17" t="str">
        <x:v>Income equity</x:v>
      </x:c>
      <x:c r="G21" s="17" t="str">
        <x:v>9 September 2026</x:v>
      </x:c>
      <x:c r="H21" s="17" t="str">
        <x:v>myStocks [1]</x:v>
      </x:c>
    </x:row>
    <x:row r="22">
      <x:c r="A22" s="17" t="str">
        <x:v>East African Breweries</x:v>
      </x:c>
      <x:c r="B22" s="17" t="str">
        <x:v>EABL</x:v>
      </x:c>
      <x:c r="C22" s="19" t="n">
        <x:v>285.25</x:v>
      </x:c>
      <x:c r="D22" s="19" t="n">
        <x:v>12.7</x:v>
      </x:c>
      <x:c r="E22" s="22" t="n">
        <x:v>0.1</x:v>
      </x:c>
      <x:c r="F22" s="17" t="str">
        <x:v>Consumer diversification</x:v>
      </x:c>
      <x:c r="G22" s="17" t="str">
        <x:v>9 September 2026</x:v>
      </x:c>
      <x:c r="H22" s="17" t="str">
        <x:v>myStocks [1]</x:v>
      </x:c>
    </x:row>
    <x:row r="23">
      <x:c r="A23" s="17" t="str">
        <x:v>Nairobi Securities Exchange</x:v>
      </x:c>
      <x:c r="B23" s="17" t="str">
        <x:v>NSE</x:v>
      </x:c>
      <x:c r="C23" s="19" t="n">
        <x:v>28.2</x:v>
      </x:c>
      <x:c r="D23" s="19" t="n">
        <x:v>1</x:v>
      </x:c>
      <x:c r="E23" s="22" t="n">
        <x:v>0.1</x:v>
      </x:c>
      <x:c r="F23" s="17" t="str">
        <x:v>Market infrastructure</x:v>
      </x:c>
      <x:c r="G23" s="17" t="str">
        <x:v>9 September 2026</x:v>
      </x:c>
      <x:c r="H23" s="17" t="str">
        <x:v>myStocks [1]</x:v>
      </x:c>
    </x:row>
    <x:row r="26" ht="36" customHeight="1">
      <x:c r="A26" s="23" t="str">
        <x:v>Source context: prices and stated dividend basis come from the manuscript's 9 September 2026 research snapshot. The worksheets are structured so inputs can be refreshed before a new order.</x:v>
      </x:c>
    </x:row>
  </x:sheetData>
  <x:mergeCells>
    <x:mergeCell ref="A1:F1"/>
    <x:mergeCell ref="A2:F2"/>
    <x:mergeCell ref="A5:F5"/>
    <x:mergeCell ref="A15:H15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D33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" t="str">
        <x:v>Core Portfolio Construction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Target allocation, transaction-cost reserve and indicative annual dividend income.</x:v>
      </x:c>
    </x:row>
    <x:row r="5">
      <x:c r="A5" s="6" t="str">
        <x:v>Portfolio summary</x:v>
      </x:c>
    </x:row>
    <x:row r="6">
      <x:c r="A6" s="16" t="str">
        <x:v>Metric</x:v>
      </x:c>
      <x:c r="B6" s="16" t="str">
        <x:v>Value</x:v>
      </x:c>
    </x:row>
    <x:row r="7">
      <x:c r="A7" s="17" t="str">
        <x:v>Total cash</x:v>
      </x:c>
      <x:c r="B7" s="24" t="n">
        <x:f>'Inputs'!B7</x:f>
        <x:v>100000</x:v>
      </x:c>
    </x:row>
    <x:row r="8">
      <x:c r="A8" s="17" t="str">
        <x:v>Investable securities</x:v>
      </x:c>
      <x:c r="B8" s="24" t="n">
        <x:f>B7/(1+'Inputs'!B8)</x:f>
        <x:v>97943.19294809012</x:v>
      </x:c>
    </x:row>
    <x:row r="9">
      <x:c r="A9" s="17" t="str">
        <x:v>Transaction-cost provision</x:v>
      </x:c>
      <x:c r="B9" s="24" t="n">
        <x:f>B7-B8</x:f>
        <x:v>2056.8070519098837</x:v>
      </x:c>
    </x:row>
    <x:row r="10">
      <x:c r="A10" s="17" t="str">
        <x:v>Monthly securities budget</x:v>
      </x:c>
      <x:c r="B10" s="24" t="n">
        <x:f>B8/'Inputs'!B9</x:f>
        <x:v>32647.730982696707</x:v>
      </x:c>
    </x:row>
    <x:row r="13">
      <x:c r="A13" s="6" t="str">
        <x:v>Core allocation and dividend income</x:v>
      </x:c>
    </x:row>
    <x:row r="14">
      <x:c r="A14" s="16" t="str">
        <x:v>Counter</x:v>
      </x:c>
      <x:c r="B14" s="16" t="str">
        <x:v>Ticker</x:v>
      </x:c>
      <x:c r="C14" s="16" t="str">
        <x:v>Price</x:v>
      </x:c>
      <x:c r="D14" s="16" t="str">
        <x:v>Dividend per share</x:v>
      </x:c>
      <x:c r="E14" s="16" t="str">
        <x:v>Target weight</x:v>
      </x:c>
      <x:c r="F14" s="16" t="str">
        <x:v>Target capital</x:v>
      </x:c>
      <x:c r="G14" s="16" t="str">
        <x:v>Indicative yield</x:v>
      </x:c>
      <x:c r="H14" s="16" t="str">
        <x:v>Gross annual dividend</x:v>
      </x:c>
      <x:c r="I14" s="16" t="str">
        <x:v>Withholding tax</x:v>
      </x:c>
      <x:c r="J14" s="16" t="str">
        <x:v>Net annual dividend</x:v>
      </x:c>
    </x:row>
    <x:row r="15">
      <x:c r="A15" s="17" t="str">
        <x:v>Safaricom</x:v>
      </x:c>
      <x:c r="B15" s="17" t="str">
        <x:v>SCOM</x:v>
      </x:c>
      <x:c r="C15" s="24" t="n">
        <x:f>'Inputs'!C17</x:f>
        <x:v>36.65</x:v>
      </x:c>
      <x:c r="D15" s="24" t="n">
        <x:f>'Inputs'!D17</x:f>
        <x:v>2</x:v>
      </x:c>
      <x:c r="E15" s="28" t="n">
        <x:f>'Inputs'!E17</x:f>
        <x:v>0.2</x:v>
      </x:c>
      <x:c r="F15" s="24" t="n">
        <x:f>$B$8*E15</x:f>
        <x:v>19588.638589618025</x:v>
      </x:c>
      <x:c r="G15" s="31" t="n">
        <x:f>D15/C15</x:f>
        <x:v>0.054570259208731244</x:v>
      </x:c>
      <x:c r="H15" s="24" t="n">
        <x:f>F15*G15</x:f>
        <x:v>1068.9570853816113</x:v>
      </x:c>
      <x:c r="I15" s="24" t="n">
        <x:f>H15*'Inputs'!$B$10</x:f>
        <x:v>53.447854269080565</x:v>
      </x:c>
      <x:c r="J15" s="24" t="n">
        <x:f>H15-I15</x:f>
        <x:v>1015.5092311125306</x:v>
      </x:c>
    </x:row>
    <x:row r="16">
      <x:c r="A16" s="17" t="str">
        <x:v>Equity Group</x:v>
      </x:c>
      <x:c r="B16" s="17" t="str">
        <x:v>EQTY</x:v>
      </x:c>
      <x:c r="C16" s="24" t="n">
        <x:f>'Inputs'!C18</x:f>
        <x:v>101.5</x:v>
      </x:c>
      <x:c r="D16" s="24" t="n">
        <x:f>'Inputs'!D18</x:f>
        <x:v>5.75</x:v>
      </x:c>
      <x:c r="E16" s="28" t="n">
        <x:f>'Inputs'!E18</x:f>
        <x:v>0.15</x:v>
      </x:c>
      <x:c r="F16" s="24" t="n">
        <x:f>$B$8*E16</x:f>
        <x:v>14691.478942213516</x:v>
      </x:c>
      <x:c r="G16" s="31" t="n">
        <x:f>D16/C16</x:f>
        <x:v>0.05665024630541872</x:v>
      </x:c>
      <x:c r="H16" s="24" t="n">
        <x:f>F16*G16</x:f>
        <x:v>832.2759006672682</x:v>
      </x:c>
      <x:c r="I16" s="24" t="n">
        <x:f>H16*'Inputs'!$B$10</x:f>
        <x:v>41.61379503336341</x:v>
      </x:c>
      <x:c r="J16" s="24" t="n">
        <x:f>H16-I16</x:f>
        <x:v>790.6621056339047</x:v>
      </x:c>
    </x:row>
    <x:row r="17">
      <x:c r="A17" s="17" t="str">
        <x:v>Co-operative Bank</x:v>
      </x:c>
      <x:c r="B17" s="17" t="str">
        <x:v>COOP</x:v>
      </x:c>
      <x:c r="C17" s="24" t="n">
        <x:f>'Inputs'!C19</x:f>
        <x:v>37.85</x:v>
      </x:c>
      <x:c r="D17" s="24" t="n">
        <x:f>'Inputs'!D19</x:f>
        <x:v>2.5</x:v>
      </x:c>
      <x:c r="E17" s="28" t="n">
        <x:f>'Inputs'!E19</x:f>
        <x:v>0.15</x:v>
      </x:c>
      <x:c r="F17" s="24" t="n">
        <x:f>$B$8*E17</x:f>
        <x:v>14691.478942213516</x:v>
      </x:c>
      <x:c r="G17" s="31" t="n">
        <x:f>D17/C17</x:f>
        <x:v>0.06605019815059444</x:v>
      </x:c>
      <x:c r="H17" s="24" t="n">
        <x:f>F17*G17</x:f>
        <x:v>970.3750952584884</x:v>
      </x:c>
      <x:c r="I17" s="24" t="n">
        <x:f>H17*'Inputs'!$B$10</x:f>
        <x:v>48.518754762924424</x:v>
      </x:c>
      <x:c r="J17" s="24" t="n">
        <x:f>H17-I17</x:f>
        <x:v>921.8563404955639</x:v>
      </x:c>
    </x:row>
    <x:row r="18">
      <x:c r="A18" s="17" t="str">
        <x:v>Standard Chartered Kenya</x:v>
      </x:c>
      <x:c r="B18" s="17" t="str">
        <x:v>SCBK</x:v>
      </x:c>
      <x:c r="C18" s="24" t="n">
        <x:f>'Inputs'!C20</x:f>
        <x:v>349.25</x:v>
      </x:c>
      <x:c r="D18" s="24" t="n">
        <x:f>'Inputs'!D20</x:f>
        <x:v>31</x:v>
      </x:c>
      <x:c r="E18" s="28" t="n">
        <x:f>'Inputs'!E20</x:f>
        <x:v>0.15</x:v>
      </x:c>
      <x:c r="F18" s="24" t="n">
        <x:f>$B$8*E18</x:f>
        <x:v>14691.478942213516</x:v>
      </x:c>
      <x:c r="G18" s="31" t="n">
        <x:f>D18/C18</x:f>
        <x:v>0.08876163206871868</x:v>
      </x:c>
      <x:c r="H18" s="24" t="n">
        <x:f>F18*G18</x:f>
        <x:v>1304.0396484140845</x:v>
      </x:c>
      <x:c r="I18" s="24" t="n">
        <x:f>H18*'Inputs'!$B$10</x:f>
        <x:v>65.20198242070423</x:v>
      </x:c>
      <x:c r="J18" s="24" t="n">
        <x:f>H18-I18</x:f>
        <x:v>1238.8376659933801</x:v>
      </x:c>
    </x:row>
    <x:row r="19">
      <x:c r="A19" s="17" t="str">
        <x:v>BAT Kenya</x:v>
      </x:c>
      <x:c r="B19" s="17" t="str">
        <x:v>BAT</x:v>
      </x:c>
      <x:c r="C19" s="24" t="n">
        <x:f>'Inputs'!C21</x:f>
        <x:v>559</x:v>
      </x:c>
      <x:c r="D19" s="24" t="n">
        <x:f>'Inputs'!D21</x:f>
        <x:v>70</x:v>
      </x:c>
      <x:c r="E19" s="28" t="n">
        <x:f>'Inputs'!E21</x:f>
        <x:v>0.15</x:v>
      </x:c>
      <x:c r="F19" s="24" t="n">
        <x:f>$B$8*E19</x:f>
        <x:v>14691.478942213516</x:v>
      </x:c>
      <x:c r="G19" s="31" t="n">
        <x:f>D19/C19</x:f>
        <x:v>0.1252236135957066</x:v>
      </x:c>
      <x:c r="H19" s="24" t="n">
        <x:f>F19*G19</x:f>
        <x:v>1839.7200822092059</x:v>
      </x:c>
      <x:c r="I19" s="24" t="n">
        <x:f>H19*'Inputs'!$B$10</x:f>
        <x:v>91.9860041104603</x:v>
      </x:c>
      <x:c r="J19" s="24" t="n">
        <x:f>H19-I19</x:f>
        <x:v>1747.7340780987456</x:v>
      </x:c>
    </x:row>
    <x:row r="20">
      <x:c r="A20" s="17" t="str">
        <x:v>East African Breweries</x:v>
      </x:c>
      <x:c r="B20" s="17" t="str">
        <x:v>EABL</x:v>
      </x:c>
      <x:c r="C20" s="24" t="n">
        <x:f>'Inputs'!C22</x:f>
        <x:v>285.25</x:v>
      </x:c>
      <x:c r="D20" s="24" t="n">
        <x:f>'Inputs'!D22</x:f>
        <x:v>12.7</x:v>
      </x:c>
      <x:c r="E20" s="28" t="n">
        <x:f>'Inputs'!E22</x:f>
        <x:v>0.1</x:v>
      </x:c>
      <x:c r="F20" s="24" t="n">
        <x:f>$B$8*E20</x:f>
        <x:v>9794.319294809013</x:v>
      </x:c>
      <x:c r="G20" s="31" t="n">
        <x:f>D20/C20</x:f>
        <x:v>0.044522348816827345</x:v>
      </x:c>
      <x:c r="H20" s="24" t="n">
        <x:f>F20*G20</x:f>
        <x:v>436.0661000668693</x:v>
      </x:c>
      <x:c r="I20" s="24" t="n">
        <x:f>H20*'Inputs'!$B$10</x:f>
        <x:v>21.803305003343468</x:v>
      </x:c>
      <x:c r="J20" s="24" t="n">
        <x:f>H20-I20</x:f>
        <x:v>414.2627950635258</x:v>
      </x:c>
    </x:row>
    <x:row r="21">
      <x:c r="A21" s="17" t="str">
        <x:v>Nairobi Securities Exchange</x:v>
      </x:c>
      <x:c r="B21" s="17" t="str">
        <x:v>NSE</x:v>
      </x:c>
      <x:c r="C21" s="24" t="n">
        <x:f>'Inputs'!C23</x:f>
        <x:v>28.2</x:v>
      </x:c>
      <x:c r="D21" s="24" t="n">
        <x:f>'Inputs'!D23</x:f>
        <x:v>1</x:v>
      </x:c>
      <x:c r="E21" s="28" t="n">
        <x:f>'Inputs'!E23</x:f>
        <x:v>0.1</x:v>
      </x:c>
      <x:c r="F21" s="24" t="n">
        <x:f>$B$8*E21</x:f>
        <x:v>9794.319294809013</x:v>
      </x:c>
      <x:c r="G21" s="31" t="n">
        <x:f>D21/C21</x:f>
        <x:v>0.03546099290780142</x:v>
      </x:c>
      <x:c r="H21" s="24" t="n">
        <x:f>F21*G21</x:f>
        <x:v>347.316287049965</x:v>
      </x:c>
      <x:c r="I21" s="24" t="n">
        <x:f>H21*'Inputs'!$B$10</x:f>
        <x:v>17.36581435249825</x:v>
      </x:c>
      <x:c r="J21" s="24" t="n">
        <x:f>H21-I21</x:f>
        <x:v>329.95047269746675</x:v>
      </x:c>
    </x:row>
    <x:row r="22">
      <x:c r="A22" s="27" t="str">
        <x:v>Portfolio total</x:v>
      </x:c>
      <x:c r="B22" s="27" t="str"/>
      <x:c r="C22" s="27" t="str"/>
      <x:c r="D22" s="27" t="str"/>
      <x:c r="E22" s="29" t="n">
        <x:f>SUM(E15:E21)</x:f>
        <x:v>1</x:v>
      </x:c>
      <x:c r="F22" s="30" t="n">
        <x:f>SUM(F15:F21)</x:f>
        <x:v>97943.19294809012</x:v>
      </x:c>
      <x:c r="G22" s="32" t="n">
        <x:f>SUM(H15:H21)/SUM(F15:F21)</x:f>
        <x:v>0.06941523953227491</x:v>
      </x:c>
      <x:c r="H22" s="30" t="n">
        <x:f>SUM(H15:H21)</x:f>
        <x:v>6798.750199047494</x:v>
      </x:c>
      <x:c r="I22" s="30" t="n">
        <x:f>SUM(I15:I21)</x:f>
        <x:v>339.9375099523747</x:v>
      </x:c>
      <x:c r="J22" s="30" t="n">
        <x:f>SUM(J15:J21)</x:f>
        <x:v>6458.812689095118</x:v>
      </x:c>
    </x:row>
  </x:sheetData>
  <x:mergeCells>
    <x:mergeCell ref="A1:J1"/>
    <x:mergeCell ref="A2:J2"/>
    <x:mergeCell ref="A5:D5"/>
    <x:mergeCell ref="A13:J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D33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7" hidden="0" customWidth="1"/>
    <x:col min="4" max="4" width="17" hidden="0" customWidth="1"/>
    <x:col min="5" max="5" width="16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2" t="str">
        <x:v>Three Month DCA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Whole-share quantities recompute from prices, weights and each month's investable securities budget.</x:v>
      </x:c>
    </x:row>
    <x:row r="5">
      <x:c r="A5" s="6" t="str">
        <x:v>Monthly allocation inputs</x:v>
      </x:c>
    </x:row>
    <x:row r="6">
      <x:c r="A6" s="16" t="str">
        <x:v>Month</x:v>
      </x:c>
      <x:c r="B6" s="16" t="str">
        <x:v>Securities budget</x:v>
      </x:c>
      <x:c r="C6" s="16" t="str">
        <x:v>Cost provision</x:v>
      </x:c>
      <x:c r="D6" s="16" t="str">
        <x:v>Total cash commitment</x:v>
      </x:c>
      <x:c r="E6" s="16" t="str">
        <x:v>Reference basis</x:v>
      </x:c>
    </x:row>
    <x:row r="7">
      <x:c r="A7" s="17" t="str">
        <x:v>Month 1</x:v>
      </x:c>
      <x:c r="B7" s="24" t="n">
        <x:f>'Core Portfolio'!$B$10</x:f>
        <x:v>32647.730982696707</x:v>
      </x:c>
      <x:c r="C7" s="24" t="n">
        <x:f>'Core Portfolio'!$B$9/'Inputs'!$B$9</x:f>
        <x:v>685.6023506366279</x:v>
      </x:c>
      <x:c r="D7" s="24" t="n">
        <x:f>B7+C7</x:f>
        <x:v>33333.333333333336</x:v>
      </x:c>
      <x:c r="E7" s="17" t="str">
        <x:v>Illustration using 9 September 2026 prices</x:v>
      </x:c>
    </x:row>
    <x:row r="8">
      <x:c r="A8" s="17" t="str">
        <x:v>Month 2</x:v>
      </x:c>
      <x:c r="B8" s="24" t="n">
        <x:f>'Core Portfolio'!$B$10</x:f>
        <x:v>32647.730982696707</x:v>
      </x:c>
      <x:c r="C8" s="24" t="n">
        <x:f>'Core Portfolio'!$B$9/'Inputs'!$B$9</x:f>
        <x:v>685.6023506366279</x:v>
      </x:c>
      <x:c r="D8" s="24" t="n">
        <x:f>B8+C8</x:f>
        <x:v>33333.333333333336</x:v>
      </x:c>
      <x:c r="E8" s="17" t="str">
        <x:v>Replace price inputs before execution</x:v>
      </x:c>
    </x:row>
    <x:row r="9">
      <x:c r="A9" s="17" t="str">
        <x:v>Month 3</x:v>
      </x:c>
      <x:c r="B9" s="24" t="n">
        <x:f>'Core Portfolio'!$B$10</x:f>
        <x:v>32647.730982696707</x:v>
      </x:c>
      <x:c r="C9" s="24" t="n">
        <x:f>'Core Portfolio'!$B$9/'Inputs'!$B$9</x:f>
        <x:v>685.6023506366279</x:v>
      </x:c>
      <x:c r="D9" s="24" t="n">
        <x:f>B9+C9</x:f>
        <x:v>33333.333333333336</x:v>
      </x:c>
      <x:c r="E9" s="17" t="str">
        <x:v>Replace price inputs before execution</x:v>
      </x:c>
    </x:row>
    <x:row r="12">
      <x:c r="A12" s="6" t="str">
        <x:v>Month one whole-share illustration</x:v>
      </x:c>
    </x:row>
    <x:row r="13">
      <x:c r="A13" s="16" t="str">
        <x:v>Counter</x:v>
      </x:c>
      <x:c r="B13" s="16" t="str">
        <x:v>Target weight</x:v>
      </x:c>
      <x:c r="C13" s="16" t="str">
        <x:v>Monthly target</x:v>
      </x:c>
      <x:c r="D13" s="16" t="str">
        <x:v>Reference price</x:v>
      </x:c>
      <x:c r="E13" s="16" t="str">
        <x:v>Illustrative shares</x:v>
      </x:c>
      <x:c r="F13" s="16" t="str">
        <x:v>Approx. share cost</x:v>
      </x:c>
      <x:c r="G13" s="16" t="str">
        <x:v>Uncommitted amount</x:v>
      </x:c>
      <x:c r="H13" s="16" t="str">
        <x:v>Cost plus maximum fees</x:v>
      </x:c>
    </x:row>
    <x:row r="14">
      <x:c r="A14" s="17" t="str">
        <x:v>Safaricom</x:v>
      </x:c>
      <x:c r="B14" s="28" t="n">
        <x:f>'Core Portfolio'!E15</x:f>
        <x:v>0.2</x:v>
      </x:c>
      <x:c r="C14" s="24" t="n">
        <x:f>$B$7*B14</x:f>
        <x:v>6529.5461965393415</x:v>
      </x:c>
      <x:c r="D14" s="24" t="n">
        <x:f>'Core Portfolio'!C15</x:f>
        <x:v>36.65</x:v>
      </x:c>
      <x:c r="E14" s="33" t="n">
        <x:f>ROUNDDOWN(C14/D14,0)</x:f>
        <x:v>178</x:v>
      </x:c>
      <x:c r="F14" s="24" t="n">
        <x:f>E14*D14</x:f>
        <x:v>6523.7</x:v>
      </x:c>
      <x:c r="G14" s="24" t="n">
        <x:f>C14-F14</x:f>
        <x:v>5.84619653934169</x:v>
      </x:c>
      <x:c r="H14" s="24" t="n">
        <x:f>F14*(1+'Inputs'!$B$8)</x:f>
        <x:v>6660.697699999999</x:v>
      </x:c>
    </x:row>
    <x:row r="15">
      <x:c r="A15" s="17" t="str">
        <x:v>Equity Group</x:v>
      </x:c>
      <x:c r="B15" s="28" t="n">
        <x:f>'Core Portfolio'!E16</x:f>
        <x:v>0.15</x:v>
      </x:c>
      <x:c r="C15" s="24" t="n">
        <x:f>$B$7*B15</x:f>
        <x:v>4897.159647404505</x:v>
      </x:c>
      <x:c r="D15" s="24" t="n">
        <x:f>'Core Portfolio'!C16</x:f>
        <x:v>101.5</x:v>
      </x:c>
      <x:c r="E15" s="33" t="n">
        <x:f>ROUNDDOWN(C15/D15,0)</x:f>
        <x:v>48</x:v>
      </x:c>
      <x:c r="F15" s="24" t="n">
        <x:f>E15*D15</x:f>
        <x:v>4872</x:v>
      </x:c>
      <x:c r="G15" s="24" t="n">
        <x:f>C15-F15</x:f>
        <x:v>25.15964740450545</x:v>
      </x:c>
      <x:c r="H15" s="24" t="n">
        <x:f>F15*(1+'Inputs'!$B$8)</x:f>
        <x:v>4974.312</x:v>
      </x:c>
    </x:row>
    <x:row r="16">
      <x:c r="A16" s="17" t="str">
        <x:v>Co-operative Bank</x:v>
      </x:c>
      <x:c r="B16" s="28" t="n">
        <x:f>'Core Portfolio'!E17</x:f>
        <x:v>0.15</x:v>
      </x:c>
      <x:c r="C16" s="24" t="n">
        <x:f>$B$7*B16</x:f>
        <x:v>4897.159647404505</x:v>
      </x:c>
      <x:c r="D16" s="24" t="n">
        <x:f>'Core Portfolio'!C17</x:f>
        <x:v>37.85</x:v>
      </x:c>
      <x:c r="E16" s="33" t="n">
        <x:f>ROUNDDOWN(C16/D16,0)</x:f>
        <x:v>129</x:v>
      </x:c>
      <x:c r="F16" s="24" t="n">
        <x:f>E16*D16</x:f>
        <x:v>4882.650000000001</x:v>
      </x:c>
      <x:c r="G16" s="24" t="n">
        <x:f>C16-F16</x:f>
        <x:v>14.509647404504904</x:v>
      </x:c>
      <x:c r="H16" s="24" t="n">
        <x:f>F16*(1+'Inputs'!$B$8)</x:f>
        <x:v>4985.18565</x:v>
      </x:c>
    </x:row>
    <x:row r="17">
      <x:c r="A17" s="17" t="str">
        <x:v>Standard Chartered Kenya</x:v>
      </x:c>
      <x:c r="B17" s="28" t="n">
        <x:f>'Core Portfolio'!E18</x:f>
        <x:v>0.15</x:v>
      </x:c>
      <x:c r="C17" s="24" t="n">
        <x:f>$B$7*B17</x:f>
        <x:v>4897.159647404505</x:v>
      </x:c>
      <x:c r="D17" s="24" t="n">
        <x:f>'Core Portfolio'!C18</x:f>
        <x:v>349.25</x:v>
      </x:c>
      <x:c r="E17" s="33" t="n">
        <x:f>ROUNDDOWN(C17/D17,0)</x:f>
        <x:v>14</x:v>
      </x:c>
      <x:c r="F17" s="24" t="n">
        <x:f>E17*D17</x:f>
        <x:v>4889.5</x:v>
      </x:c>
      <x:c r="G17" s="24" t="n">
        <x:f>C17-F17</x:f>
        <x:v>7.659647404505449</x:v>
      </x:c>
      <x:c r="H17" s="24" t="n">
        <x:f>F17*(1+'Inputs'!$B$8)</x:f>
        <x:v>4992.179499999999</x:v>
      </x:c>
    </x:row>
    <x:row r="18">
      <x:c r="A18" s="17" t="str">
        <x:v>BAT Kenya</x:v>
      </x:c>
      <x:c r="B18" s="28" t="n">
        <x:f>'Core Portfolio'!E19</x:f>
        <x:v>0.15</x:v>
      </x:c>
      <x:c r="C18" s="24" t="n">
        <x:f>$B$7*B18</x:f>
        <x:v>4897.159647404505</x:v>
      </x:c>
      <x:c r="D18" s="24" t="n">
        <x:f>'Core Portfolio'!C19</x:f>
        <x:v>559</x:v>
      </x:c>
      <x:c r="E18" s="33" t="n">
        <x:f>ROUNDDOWN(C18/D18,0)</x:f>
        <x:v>8</x:v>
      </x:c>
      <x:c r="F18" s="24" t="n">
        <x:f>E18*D18</x:f>
        <x:v>4472</x:v>
      </x:c>
      <x:c r="G18" s="24" t="n">
        <x:f>C18-F18</x:f>
        <x:v>425.15964740450545</x:v>
      </x:c>
      <x:c r="H18" s="24" t="n">
        <x:f>F18*(1+'Inputs'!$B$8)</x:f>
        <x:v>4565.911999999999</x:v>
      </x:c>
    </x:row>
    <x:row r="19">
      <x:c r="A19" s="17" t="str">
        <x:v>East African Breweries</x:v>
      </x:c>
      <x:c r="B19" s="28" t="n">
        <x:f>'Core Portfolio'!E20</x:f>
        <x:v>0.1</x:v>
      </x:c>
      <x:c r="C19" s="24" t="n">
        <x:f>$B$7*B19</x:f>
        <x:v>3264.7730982696708</x:v>
      </x:c>
      <x:c r="D19" s="24" t="n">
        <x:f>'Core Portfolio'!C20</x:f>
        <x:v>285.25</x:v>
      </x:c>
      <x:c r="E19" s="33" t="n">
        <x:f>ROUNDDOWN(C19/D19,0)</x:f>
        <x:v>11</x:v>
      </x:c>
      <x:c r="F19" s="24" t="n">
        <x:f>E19*D19</x:f>
        <x:v>3137.75</x:v>
      </x:c>
      <x:c r="G19" s="24" t="n">
        <x:f>C19-F19</x:f>
        <x:v>127.02309826967075</x:v>
      </x:c>
      <x:c r="H19" s="24" t="n">
        <x:f>F19*(1+'Inputs'!$B$8)</x:f>
        <x:v>3203.6427499999995</x:v>
      </x:c>
    </x:row>
    <x:row r="20">
      <x:c r="A20" s="17" t="str">
        <x:v>Nairobi Securities Exchange</x:v>
      </x:c>
      <x:c r="B20" s="28" t="n">
        <x:f>'Core Portfolio'!E21</x:f>
        <x:v>0.1</x:v>
      </x:c>
      <x:c r="C20" s="24" t="n">
        <x:f>$B$7*B20</x:f>
        <x:v>3264.7730982696708</x:v>
      </x:c>
      <x:c r="D20" s="24" t="n">
        <x:f>'Core Portfolio'!C21</x:f>
        <x:v>28.2</x:v>
      </x:c>
      <x:c r="E20" s="33" t="n">
        <x:f>ROUNDDOWN(C20/D20,0)</x:f>
        <x:v>115</x:v>
      </x:c>
      <x:c r="F20" s="24" t="n">
        <x:f>E20*D20</x:f>
        <x:v>3243</x:v>
      </x:c>
      <x:c r="G20" s="24" t="n">
        <x:f>C20-F20</x:f>
        <x:v>21.773098269670754</x:v>
      </x:c>
      <x:c r="H20" s="24" t="n">
        <x:f>F20*(1+'Inputs'!$B$8)</x:f>
        <x:v>3311.1029999999996</x:v>
      </x:c>
    </x:row>
    <x:row r="21">
      <x:c r="A21" s="27" t="str">
        <x:v>Total</x:v>
      </x:c>
      <x:c r="B21" s="29" t="n">
        <x:f>SUM(B14:B20)</x:f>
        <x:v>1</x:v>
      </x:c>
      <x:c r="C21" s="30" t="n">
        <x:f>SUM(C14:C20)</x:f>
        <x:v>32647.730982696703</x:v>
      </x:c>
      <x:c r="D21" s="30" t="str"/>
      <x:c r="E21" s="34" t="n">
        <x:f>SUM(E14:E20)</x:f>
        <x:v>503</x:v>
      </x:c>
      <x:c r="F21" s="30" t="n">
        <x:f>SUM(F14:F20)</x:f>
        <x:v>32020.600000000002</x:v>
      </x:c>
      <x:c r="G21" s="30" t="n">
        <x:f>SUM(G14:G20)</x:f>
        <x:v>627.1309826967045</x:v>
      </x:c>
      <x:c r="H21" s="30" t="n">
        <x:f>SUM(H14:H20)</x:f>
        <x:v>32693.032599999995</x:v>
      </x:c>
    </x:row>
  </x:sheetData>
  <x:mergeCells>
    <x:mergeCell ref="A1:J1"/>
    <x:mergeCell ref="A2:J2"/>
    <x:mergeCell ref="A5:E5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D33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  <x:col min="7" max="7" width="26" hidden="0" customWidth="1"/>
  </x:cols>
  <x:sheetData>
    <x:row r="1">
      <x:c r="A1" s="2" t="str">
        <x:v>Dividend Income Scenarios</x:v>
      </x:c>
      <x:c r="B1" s="3"/>
      <x:c r="C1" s="3"/>
      <x:c r="D1" s="3"/>
      <x:c r="E1" s="3"/>
      <x:c r="F1" s="3"/>
      <x:c r="G1" s="3"/>
    </x:row>
    <x:row r="2">
      <x:c r="A2" s="4" t="str">
        <x:v>A simple scenario analysis of the core portfolio's dividend income, excluding share-price movements.</x:v>
      </x:c>
    </x:row>
    <x:row r="5">
      <x:c r="A5" s="6" t="str">
        <x:v>Scenario inputs and results</x:v>
      </x:c>
    </x:row>
    <x:row r="6">
      <x:c r="A6" s="16" t="str">
        <x:v>Scenario</x:v>
      </x:c>
      <x:c r="B6" s="16" t="str">
        <x:v>Dividend change</x:v>
      </x:c>
      <x:c r="C6" s="16" t="str">
        <x:v>Gross income</x:v>
      </x:c>
      <x:c r="D6" s="16" t="str">
        <x:v>Withholding tax</x:v>
      </x:c>
      <x:c r="E6" s="16" t="str">
        <x:v>Net income</x:v>
      </x:c>
      <x:c r="F6" s="16" t="str">
        <x:v>Net yield on total cash</x:v>
      </x:c>
      <x:c r="G6" s="16" t="str">
        <x:v>Interpretation</x:v>
      </x:c>
    </x:row>
    <x:row r="7">
      <x:c r="A7" s="17" t="str">
        <x:v>Dividends fall 20%</x:v>
      </x:c>
      <x:c r="B7" s="22" t="n">
        <x:v>-0.2</x:v>
      </x:c>
      <x:c r="C7" s="24" t="n">
        <x:f>'Core Portfolio'!$H$22*(1+B7)</x:f>
        <x:v>5439.000159237996</x:v>
      </x:c>
      <x:c r="D7" s="24" t="n">
        <x:f>C7*'Inputs'!$B$10</x:f>
        <x:v>271.9500079618998</x:v>
      </x:c>
      <x:c r="E7" s="24" t="n">
        <x:f>C7-D7</x:f>
        <x:v>5167.050151276096</x:v>
      </x:c>
      <x:c r="F7" s="31" t="n">
        <x:f>E7/'Inputs'!$B$7</x:f>
        <x:v>0.05167050151276096</x:v>
      </x:c>
      <x:c r="G7" s="17" t="str">
        <x:v>Lower distribution scenario</x:v>
      </x:c>
    </x:row>
    <x:row r="8">
      <x:c r="A8" s="17" t="str">
        <x:v>Recent dividends repeated</x:v>
      </x:c>
      <x:c r="B8" s="22" t="n">
        <x:v>0</x:v>
      </x:c>
      <x:c r="C8" s="24" t="n">
        <x:f>'Core Portfolio'!$H$22*(1+B8)</x:f>
        <x:v>6798.750199047494</x:v>
      </x:c>
      <x:c r="D8" s="24" t="n">
        <x:f>C8*'Inputs'!$B$10</x:f>
        <x:v>339.93750995237474</x:v>
      </x:c>
      <x:c r="E8" s="24" t="n">
        <x:f>C8-D8</x:f>
        <x:v>6458.812689095119</x:v>
      </x:c>
      <x:c r="F8" s="31" t="n">
        <x:f>E8/'Inputs'!$B$7</x:f>
        <x:v>0.06458812689095118</x:v>
      </x:c>
      <x:c r="G8" s="17" t="str">
        <x:v>Reference case</x:v>
      </x:c>
    </x:row>
    <x:row r="9">
      <x:c r="A9" s="17" t="str">
        <x:v>Dividends increase 10%</x:v>
      </x:c>
      <x:c r="B9" s="22" t="n">
        <x:v>0.1</x:v>
      </x:c>
      <x:c r="C9" s="24" t="n">
        <x:f>'Core Portfolio'!$H$22*(1+B9)</x:f>
        <x:v>7478.625218952244</x:v>
      </x:c>
      <x:c r="D9" s="24" t="n">
        <x:f>C9*'Inputs'!$B$10</x:f>
        <x:v>373.9312609476122</x:v>
      </x:c>
      <x:c r="E9" s="24" t="n">
        <x:f>C9-D9</x:f>
        <x:v>7104.693958004632</x:v>
      </x:c>
      <x:c r="F9" s="31" t="n">
        <x:f>E9/'Inputs'!$B$7</x:f>
        <x:v>0.07104693958004632</x:v>
      </x:c>
      <x:c r="G9" s="17" t="str">
        <x:v>Higher distribution scenario</x:v>
      </x:c>
    </x:row>
    <x:row r="12" ht="34" customHeight="1">
      <x:c r="A12" s="23" t="str">
        <x:v>Interpretation: these scenarios change dividend income only. They retain the project’s stated 5% resident withholding-tax assumption and do not model capital gains or losses.</x:v>
      </x:c>
    </x:row>
  </x:sheetData>
  <x:mergeCells>
    <x:mergeCell ref="A1:G1"/>
    <x:mergeCell ref="A2:G2"/>
    <x:mergeCell ref="A5:G5"/>
    <x:mergeCell ref="A12:G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D3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27" hidden="0" customWidth="1"/>
    <x:col min="4" max="4" width="27" hidden="0" customWidth="1"/>
    <x:col min="5" max="5" width="34" hidden="0" customWidth="1"/>
    <x:col min="6" max="6" width="42" hidden="0" customWidth="1"/>
  </x:cols>
  <x:sheetData>
    <x:row r="1">
      <x:c r="A1" s="2" t="str">
        <x:v>Formula Dictionary</x:v>
      </x:c>
      <x:c r="B1" s="3"/>
      <x:c r="C1" s="3"/>
      <x:c r="D1" s="3"/>
      <x:c r="E1" s="3"/>
      <x:c r="F1" s="3"/>
    </x:row>
    <x:row r="2">
      <x:c r="A2" s="4" t="str">
        <x:v>Exact Excel expressions, mathematical equivalences and formula locations in this workbook.</x:v>
      </x:c>
    </x:row>
    <x:row r="5">
      <x:c r="A5" s="16" t="str">
        <x:v>Calculation</x:v>
      </x:c>
      <x:c r="B5" s="16" t="str">
        <x:v>Excel expression</x:v>
      </x:c>
      <x:c r="C5" s="16" t="str">
        <x:v>Mathematical equivalence</x:v>
      </x:c>
      <x:c r="D5" s="16" t="str">
        <x:v>Workbook location</x:v>
      </x:c>
      <x:c r="E5" s="16" t="str">
        <x:v>Inputs</x:v>
      </x:c>
      <x:c r="F5" s="16" t="str">
        <x:v>Purpose</x:v>
      </x:c>
    </x:row>
    <x:row r="6" ht="24" hidden="0" customHeight="1">
      <x:c r="A6" s="41" t="str">
        <x:v>Investable securities</x:v>
      </x:c>
      <x:c r="B6" s="39" t="str">
        <x:v>=B7/(1+'Inputs'!B8)</x:v>
      </x:c>
      <x:c r="C6" s="42" t="str">
        <x:v>S = C / (1 + c)</x:v>
      </x:c>
      <x:c r="D6" s="42" t="str">
        <x:v>Core Portfolio!B8</x:v>
      </x:c>
      <x:c r="E6" s="42" t="str">
        <x:v>Total cash; transaction cost</x:v>
      </x:c>
      <x:c r="F6" s="42" t="str">
        <x:v>Reserves maximum transaction costs before securities allocation</x:v>
      </x:c>
    </x:row>
    <x:row r="7" ht="15" hidden="0" customHeight="1">
      <x:c r="A7" s="41" t="str">
        <x:v>Cost provision</x:v>
      </x:c>
      <x:c r="B7" s="39" t="str">
        <x:v>=B7-B8</x:v>
      </x:c>
      <x:c r="C7" s="42" t="str">
        <x:v>F = C - S</x:v>
      </x:c>
      <x:c r="D7" s="42" t="str">
        <x:v>Core Portfolio!B9</x:v>
      </x:c>
      <x:c r="E7" s="42" t="str">
        <x:v>Total cash; investable securities</x:v>
      </x:c>
      <x:c r="F7" s="42" t="str">
        <x:v>Shows cash reserved for transaction costs</x:v>
      </x:c>
    </x:row>
    <x:row r="8" ht="15" hidden="0" customHeight="1">
      <x:c r="A8" s="41" t="str">
        <x:v>Monthly securities budget</x:v>
      </x:c>
      <x:c r="B8" s="39" t="str">
        <x:v>=B8/'Inputs'!B9</x:v>
      </x:c>
      <x:c r="C8" s="42" t="str">
        <x:v>M = S / n</x:v>
      </x:c>
      <x:c r="D8" s="42" t="str">
        <x:v>Core Portfolio!B10</x:v>
      </x:c>
      <x:c r="E8" s="42" t="str">
        <x:v>Investable securities; deployment months</x:v>
      </x:c>
      <x:c r="F8" s="42" t="str">
        <x:v>Sets the securities budget for each purchase month</x:v>
      </x:c>
    </x:row>
    <x:row r="9" ht="15" hidden="0" customHeight="1">
      <x:c r="A9" s="41" t="str">
        <x:v>Target capital</x:v>
      </x:c>
      <x:c r="B9" s="39" t="str">
        <x:v>=$B$8*E15</x:v>
      </x:c>
      <x:c r="C9" s="42" t="str">
        <x:v>A_i = S x w_i</x:v>
      </x:c>
      <x:c r="D9" s="42" t="str">
        <x:v>Core Portfolio!F15:F21</x:v>
      </x:c>
      <x:c r="E9" s="42" t="str">
        <x:v>Investable securities; target weight</x:v>
      </x:c>
      <x:c r="F9" s="42" t="str">
        <x:v>Allocates target capital to each counter</x:v>
      </x:c>
    </x:row>
    <x:row r="10" ht="15" hidden="0" customHeight="1">
      <x:c r="A10" s="41" t="str">
        <x:v>Indicative yield</x:v>
      </x:c>
      <x:c r="B10" s="39" t="str">
        <x:v>=D15/C15</x:v>
      </x:c>
      <x:c r="C10" s="42" t="str">
        <x:v>y_i = D_i / P_i</x:v>
      </x:c>
      <x:c r="D10" s="42" t="str">
        <x:v>Core Portfolio!G15:G21</x:v>
      </x:c>
      <x:c r="E10" s="42" t="str">
        <x:v>Dividend per share; reference price</x:v>
      </x:c>
      <x:c r="F10" s="42" t="str">
        <x:v>Calculates stated dividend yield at the reference price</x:v>
      </x:c>
    </x:row>
    <x:row r="11" ht="15" hidden="0" customHeight="1">
      <x:c r="A11" s="41" t="str">
        <x:v>Gross annual dividend</x:v>
      </x:c>
      <x:c r="B11" s="39" t="str">
        <x:v>=F15*G15</x:v>
      </x:c>
      <x:c r="C11" s="42" t="str">
        <x:v>G_i = A_i x y_i</x:v>
      </x:c>
      <x:c r="D11" s="42" t="str">
        <x:v>Core Portfolio!H15:H21</x:v>
      </x:c>
      <x:c r="E11" s="42" t="str">
        <x:v>Target capital; yield</x:v>
      </x:c>
      <x:c r="F11" s="42" t="str">
        <x:v>Estimates annual gross dividend income</x:v>
      </x:c>
    </x:row>
    <x:row r="12" ht="15" hidden="0" customHeight="1">
      <x:c r="A12" s="41" t="str">
        <x:v>Withholding tax</x:v>
      </x:c>
      <x:c r="B12" s="39" t="str">
        <x:v>=H15*'Inputs'!B10</x:v>
      </x:c>
      <x:c r="C12" s="42" t="str">
        <x:v>T = G x t</x:v>
      </x:c>
      <x:c r="D12" s="42" t="str">
        <x:v>Core Portfolio!I15:I21</x:v>
      </x:c>
      <x:c r="E12" s="42" t="str">
        <x:v>Gross income; tax rate</x:v>
      </x:c>
      <x:c r="F12" s="42" t="str">
        <x:v>Applies the selected resident withholding-tax rate</x:v>
      </x:c>
    </x:row>
    <x:row r="13" ht="15" hidden="0" customHeight="1">
      <x:c r="A13" s="41" t="str">
        <x:v>Net annual dividend</x:v>
      </x:c>
      <x:c r="B13" s="39" t="str">
        <x:v>=H15-I15</x:v>
      </x:c>
      <x:c r="C13" s="42" t="str">
        <x:v>N = G - T</x:v>
      </x:c>
      <x:c r="D13" s="42" t="str">
        <x:v>Core Portfolio!J15:J21</x:v>
      </x:c>
      <x:c r="E13" s="42" t="str">
        <x:v>Gross income; withholding tax</x:v>
      </x:c>
      <x:c r="F13" s="42" t="str">
        <x:v>Calculates net annual dividend income</x:v>
      </x:c>
    </x:row>
    <x:row r="14" ht="15" hidden="0" customHeight="1">
      <x:c r="A14" s="41" t="str">
        <x:v>Whole shares</x:v>
      </x:c>
      <x:c r="B14" s="39" t="str">
        <x:v>=ROUNDDOWN(C14/D14,0)</x:v>
      </x:c>
      <x:c r="C14" s="42" t="str">
        <x:v>q_i = floor(M x w_i / P_i)</x:v>
      </x:c>
      <x:c r="D14" s="42" t="str">
        <x:v>DCA Plan!E14:E20</x:v>
      </x:c>
      <x:c r="E14" s="42" t="str">
        <x:v>Monthly target; price</x:v>
      </x:c>
      <x:c r="F14" s="42" t="str">
        <x:v>Rounds purchase quantities down to whole shares</x:v>
      </x:c>
    </x:row>
    <x:row r="15" ht="15" hidden="0" customHeight="1">
      <x:c r="A15" s="41" t="str">
        <x:v>Scenario gross income</x:v>
      </x:c>
      <x:c r="B15" s="39" t="str">
        <x:v>='Core Portfolio'!H22*(1+B7)</x:v>
      </x:c>
      <x:c r="C15" s="42" t="str">
        <x:v>G_s = G x (1 + s)</x:v>
      </x:c>
      <x:c r="D15" s="42" t="str">
        <x:v>Income Scenarios!C7:C9</x:v>
      </x:c>
      <x:c r="E15" s="42" t="str">
        <x:v>Base gross income; scenario change</x:v>
      </x:c>
      <x:c r="F15" s="42" t="str">
        <x:v>Applies a dividend-change scenario</x:v>
      </x:c>
    </x:row>
    <x:row r="16" ht="15" hidden="0" customHeight="1">
      <x:c r="A16" s="41" t="str">
        <x:v>Scenario net yield</x:v>
      </x:c>
      <x:c r="B16" s="39" t="str">
        <x:v>=E7/'Inputs'!B7</x:v>
      </x:c>
      <x:c r="C16" s="42" t="str">
        <x:v>y_net = N / C</x:v>
      </x:c>
      <x:c r="D16" s="42" t="str">
        <x:v>Income Scenarios!F7:F9</x:v>
      </x:c>
      <x:c r="E16" s="42" t="str">
        <x:v>Net income; total cash</x:v>
      </x:c>
      <x:c r="F16" s="42" t="str">
        <x:v>Expresses net income as a yield on total cash</x:v>
      </x:c>
    </x:row>
  </x:sheetData>
  <x:mergeCells>
    <x:mergeCell ref="A1:F1"/>
    <x:mergeCell ref="A2:F2"/>
  </x:mergeCells>
  <x:pageMargins left="0.7" right="0.7" top="0.75" bottom="0.75" header="0.3" footer="0.3"/>
</x:worksheet>
</file>