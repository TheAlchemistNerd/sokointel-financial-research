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b3e2528d2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01fd7cbf8554f3c"/>
    <x:sheet xmlns:r="http://schemas.openxmlformats.org/officeDocument/2006/relationships" name="Market Metrics" sheetId="2" r:id="R7234668f5ce845a2"/>
    <x:sheet xmlns:r="http://schemas.openxmlformats.org/officeDocument/2006/relationships" name="Provider Comparison" sheetId="3" r:id="R4b68a4d440fc474d"/>
    <x:sheet xmlns:r="http://schemas.openxmlformats.org/officeDocument/2006/relationships" name="Reporting Vectors" sheetId="4" r:id="R1f20d096332c4276"/>
    <x:sheet xmlns:r="http://schemas.openxmlformats.org/officeDocument/2006/relationships" name="Funding Mix" sheetId="5" r:id="R9fc5f5188b254ada"/>
    <x:sheet xmlns:r="http://schemas.openxmlformats.org/officeDocument/2006/relationships" name="Screenshot List" sheetId="6" r:id="R990558e98b504830"/>
    <x:sheet xmlns:r="http://schemas.openxmlformats.org/officeDocument/2006/relationships" name="Deal Ledger" sheetId="7" r:id="R6a58f4be6e6d40db"/>
    <x:sheet xmlns:r="http://schemas.openxmlformats.org/officeDocument/2006/relationships" name="Instrument Guide" sheetId="8" r:id="Reedadd6009ba4b8f"/>
    <x:sheet xmlns:r="http://schemas.openxmlformats.org/officeDocument/2006/relationships" name="Debt Service" sheetId="9" r:id="R33d2e1475f744da8"/>
    <x:sheet xmlns:r="http://schemas.openxmlformats.org/officeDocument/2006/relationships" name="Equity Dilution" sheetId="10" r:id="R3823317928734c03"/>
    <x:sheet xmlns:r="http://schemas.openxmlformats.org/officeDocument/2006/relationships" name="Company Outcomes" sheetId="11" r:id="Rdea1ce062a734faa"/>
    <x:sheet xmlns:r="http://schemas.openxmlformats.org/officeDocument/2006/relationships" name="Sources and Checks" sheetId="12" r:id="Rdbfa2bb2ab2b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-mmm-yyyy"/>
    <x:numFmt numFmtId="201" formatCode="0.0%;(0.0%);-"/>
    <x:numFmt numFmtId="202" formatCode="#,##0;(#,##0);-"/>
    <x:numFmt numFmtId="203" formatCode="0"/>
    <x:numFmt numFmtId="204" formatCode="0.00"/>
    <x:numFmt numFmtId="205" formatCode="#,##0.0;(#,##0.0);-"/>
    <x:numFmt numFmtId="206" formatCode="0.0"/>
    <x:numFmt numFmtId="207" formatCode="0.00x"/>
    <x:numFmt numFmtId="208" formatCode="0.00; (0.00); -"/>
    <x:numFmt numFmtId="209" formatCode="0.00;(0.00);-"/>
  </x:numFmts>
  <x:fonts count="11">
    <x:font>
      <x:sz val="11"/>
      <x:name val="Carlito"/>
    </x:font>
    <x:font>
      <x:b/>
      <x:sz val="15"/>
      <x:color rgb="FF17365D"/>
      <x:name val="Arial"/>
    </x:font>
    <x:font>
      <x:i/>
      <x:sz val="9"/>
      <x:color rgb="FF666666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sz val="10"/>
      <x:color rgb="FFC00000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E3E8EE"/>
      </x:bottom>
    </x:border>
    <x:border>
      <x:top style="thin">
        <x:color rgb="FFE3E8EE"/>
      </x:top>
      <x:bottom style="thin">
        <x:color rgb="FFE3E8EE"/>
      </x:bottom>
    </x:border>
    <x:border>
      <x:top style="thin">
        <x:color rgb="FFE3E8EE"/>
      </x:top>
      <x:bottom style="thin">
        <x:color rgb="FFB8C4D1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202" fontId="10" fillId="0" borderId="1" xfId="0" applyNumberFormat="1" applyFont="1" applyFill="1" applyBorder="1" applyAlignment="1">
      <x:alignment vertical="center"/>
    </x:xf>
    <x:xf numFmtId="202" fontId="10" fillId="0" borderId="3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201" fontId="10" fillId="0" borderId="2" xfId="0" applyNumberFormat="1" applyFont="1" applyFill="1" applyBorder="1" applyAlignment="1">
      <x:alignment vertical="center"/>
    </x:xf>
    <x:xf numFmtId="202" fontId="10" fillId="0" borderId="2" xfId="0" applyNumberFormat="1" applyFont="1" applyFill="1" applyBorder="1" applyAlignment="1">
      <x:alignment vertical="center"/>
    </x:xf>
    <x:xf numFmtId="202" fontId="10" fillId="5" borderId="2" xfId="0" applyNumberFormat="1" applyFont="1" applyFill="1" applyBorder="1" applyAlignment="1">
      <x:alignment vertical="center"/>
    </x:xf>
    <x:xf numFmtId="201" fontId="10" fillId="5" borderId="2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202" fontId="7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/>
    <x:xf numFmtId="201" fontId="5" fillId="0" borderId="0" xfId="0" applyNumberFormat="1" applyFont="1" applyFill="1" applyBorder="1"/>
    <x:xf numFmtId="204" fontId="7" fillId="0" borderId="0" xfId="0" applyNumberFormat="1" applyFont="1" applyFill="1" applyBorder="1"/>
    <x:xf numFmtId="0" fontId="5" fillId="6" borderId="0" xfId="0" applyNumberFormat="1" applyFont="1" applyFill="1" applyBorder="1"/>
    <x:xf numFmtId="204" fontId="7" fillId="6" borderId="0" xfId="0" applyNumberFormat="1" applyFont="1" applyFill="1" applyBorder="1"/>
    <x:xf numFmtId="201" fontId="7" fillId="6" borderId="0" xfId="0" applyNumberFormat="1" applyFont="1" applyFill="1" applyBorder="1"/>
    <x:xf numFmtId="0" fontId="6" fillId="6" borderId="0" xfId="0" applyNumberFormat="1" applyFont="1" applyFill="1" applyBorder="1"/>
    <x:xf numFmtId="204" fontId="6" fillId="6" borderId="0" xfId="0" applyNumberFormat="1" applyFont="1" applyFill="1" applyBorder="1"/>
    <x:xf numFmtId="201" fontId="6" fillId="6" borderId="0" xfId="0" applyNumberFormat="1" applyFont="1" applyFill="1" applyBorder="1"/>
    <x:xf numFmtId="0" fontId="10" fillId="0" borderId="2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/>
    </x:xf>
    <x:xf numFmtId="0" fontId="10" fillId="5" borderId="2" xfId="0" applyNumberFormat="1" applyFont="1" applyFill="1" applyBorder="1" applyAlignment="1">
      <x:alignment vertical="center"/>
    </x:xf>
    <x:xf numFmtId="0" fontId="10" fillId="5" borderId="3" xfId="0" applyNumberFormat="1" applyFont="1" applyFill="1" applyBorder="1" applyAlignment="1">
      <x:alignment vertical="center"/>
    </x:xf>
    <x:xf numFmtId="205" fontId="10" fillId="5" borderId="1" xfId="0" applyNumberFormat="1" applyFont="1" applyFill="1" applyBorder="1" applyAlignment="1">
      <x:alignment vertical="center"/>
    </x:xf>
    <x:xf numFmtId="205" fontId="10" fillId="5" borderId="2" xfId="0" applyNumberFormat="1" applyFont="1" applyFill="1" applyBorder="1" applyAlignment="1">
      <x:alignment vertical="center"/>
    </x:xf>
    <x:xf numFmtId="205" fontId="10" fillId="5" borderId="3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10" fillId="5" borderId="3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205" fontId="7" fillId="0" borderId="2" xfId="0" applyNumberFormat="1" applyFont="1" applyFill="1" applyBorder="1" applyAlignment="1">
      <x:alignment vertical="center"/>
    </x:xf>
    <x:xf numFmtId="205" fontId="7" fillId="0" borderId="3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205" fontId="7" fillId="0" borderId="1" xfId="0" applyNumberFormat="1" applyFont="1" applyFill="1" applyBorder="1" applyAlignment="1">
      <x:alignment vertical="center" wrapText="1"/>
    </x:xf>
    <x:xf numFmtId="205" fontId="7" fillId="0" borderId="2" xfId="0" applyNumberFormat="1" applyFont="1" applyFill="1" applyBorder="1" applyAlignment="1">
      <x:alignment vertical="center" wrapText="1"/>
    </x:xf>
    <x:xf numFmtId="205" fontId="7" fillId="0" borderId="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5" borderId="0" xfId="0" applyNumberFormat="1" applyFont="1" applyFill="1" applyBorder="1"/>
    <x:xf numFmtId="202" fontId="10" fillId="5" borderId="0" xfId="0" applyNumberFormat="1" applyFont="1" applyFill="1" applyBorder="1"/>
    <x:xf numFmtId="201" fontId="10" fillId="5" borderId="0" xfId="0" applyNumberFormat="1" applyFont="1" applyFill="1" applyBorder="1"/>
    <x:xf numFmtId="202" fontId="5" fillId="0" borderId="0" xfId="0" applyNumberFormat="1" applyFont="1" applyFill="1" applyBorder="1"/>
    <x:xf numFmtId="204" fontId="5" fillId="0" borderId="1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2" fontId="5" fillId="6" borderId="0" xfId="0" applyNumberFormat="1" applyFont="1" applyFill="1" applyBorder="1"/>
    <x:xf numFmtId="204" fontId="5" fillId="6" borderId="0" xfId="0" applyNumberFormat="1" applyFont="1" applyFill="1" applyBorder="1"/>
    <x:xf numFmtId="0" fontId="3" fillId="6" borderId="0" xfId="0" applyNumberFormat="1" applyFont="1" applyFill="1" applyBorder="1"/>
    <x:xf numFmtId="202" fontId="3" fillId="6" borderId="0" xfId="0" applyNumberFormat="1" applyFont="1" applyFill="1" applyBorder="1"/>
    <x:xf numFmtId="204" fontId="3" fillId="6" borderId="0" xfId="0" applyNumberFormat="1" applyFont="1" applyFill="1" applyBorder="1"/>
    <x:xf numFmtId="206" fontId="10" fillId="0" borderId="1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6" fontId="10" fillId="0" borderId="3" xfId="0" applyNumberFormat="1" applyFont="1" applyFill="1" applyBorder="1" applyAlignment="1">
      <x:alignment vertical="center"/>
    </x:xf>
    <x:xf numFmtId="206" fontId="5" fillId="0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7" fontId="5" fillId="0" borderId="3" xfId="0" applyNumberFormat="1" applyFont="1" applyFill="1" applyBorder="1" applyAlignment="1">
      <x:alignment vertical="center"/>
    </x:xf>
    <x:xf numFmtId="206" fontId="10" fillId="5" borderId="1" xfId="0" applyNumberFormat="1" applyFont="1" applyFill="1" applyBorder="1" applyAlignment="1">
      <x:alignment vertical="center"/>
    </x:xf>
    <x:xf numFmtId="206" fontId="10" fillId="5" borderId="3" xfId="0" applyNumberFormat="1" applyFont="1" applyFill="1" applyBorder="1" applyAlignment="1">
      <x:alignment vertical="center"/>
    </x:xf>
    <x:xf numFmtId="206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6" fontId="7" fillId="0" borderId="3" xfId="0" applyNumberFormat="1" applyFont="1" applyFill="1" applyBorder="1" applyAlignment="1">
      <x:alignment vertical="center"/>
    </x:xf>
    <x:xf numFmtId="207" fontId="7" fillId="0" borderId="1" xfId="0" applyNumberFormat="1" applyFont="1" applyFill="1" applyBorder="1" applyAlignment="1">
      <x:alignment vertical="center"/>
    </x:xf>
    <x:xf numFmtId="207" fontId="7" fillId="0" borderId="3" xfId="0" applyNumberFormat="1" applyFont="1" applyFill="1" applyBorder="1" applyAlignment="1">
      <x:alignment vertical="center"/>
    </x:xf>
    <x:xf numFmtId="208" fontId="5" fillId="0" borderId="1" xfId="0" applyNumberFormat="1" applyFont="1" applyFill="1" applyBorder="1" applyAlignment="1">
      <x:alignment vertical="center"/>
    </x:xf>
    <x:xf numFmtId="208" fontId="5" fillId="0" borderId="2" xfId="0" applyNumberFormat="1" applyFont="1" applyFill="1" applyBorder="1" applyAlignment="1">
      <x:alignment vertical="center"/>
    </x:xf>
    <x:xf numFmtId="208" fontId="5" fillId="0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/>
    </x:xf>
    <x:xf numFmtId="209" fontId="5" fillId="0" borderId="1" xfId="0" applyNumberFormat="1" applyFont="1" applyFill="1" applyBorder="1" applyAlignment="1">
      <x:alignment vertical="center"/>
    </x:xf>
    <x:xf numFmtId="209" fontId="5" fillId="0" borderId="2" xfId="0" applyNumberFormat="1" applyFont="1" applyFill="1" applyBorder="1" applyAlignment="1">
      <x:alignment vertical="center"/>
    </x:xf>
    <x:xf numFmtId="209" fontId="5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dc744971245e0" /><Relationship Type="http://schemas.openxmlformats.org/officeDocument/2006/relationships/theme" Target="/xl/theme/theme1.xml" Id="R1f6055a6e0a74b87" /><Relationship Type="http://schemas.openxmlformats.org/officeDocument/2006/relationships/sharedStrings" Target="/xl/sharedStrings.xml" Id="R7b11f8d889c847d7" /><Relationship Type="http://schemas.openxmlformats.org/officeDocument/2006/relationships/worksheet" Target="/xl/worksheets/sheet1.xml" Id="R601fd7cbf8554f3c" /><Relationship Type="http://schemas.openxmlformats.org/officeDocument/2006/relationships/worksheet" Target="/xl/worksheets/sheet2.xml" Id="R7234668f5ce845a2" /><Relationship Type="http://schemas.openxmlformats.org/officeDocument/2006/relationships/worksheet" Target="/xl/worksheets/sheet3.xml" Id="R4b68a4d440fc474d" /><Relationship Type="http://schemas.openxmlformats.org/officeDocument/2006/relationships/worksheet" Target="/xl/worksheets/sheet4.xml" Id="R1f20d096332c4276" /><Relationship Type="http://schemas.openxmlformats.org/officeDocument/2006/relationships/worksheet" Target="/xl/worksheets/sheet5.xml" Id="R9fc5f5188b254ada" /><Relationship Type="http://schemas.openxmlformats.org/officeDocument/2006/relationships/worksheet" Target="/xl/worksheets/sheet6.xml" Id="R990558e98b504830" /><Relationship Type="http://schemas.openxmlformats.org/officeDocument/2006/relationships/worksheet" Target="/xl/worksheets/sheet7.xml" Id="R6a58f4be6e6d40db" /><Relationship Type="http://schemas.openxmlformats.org/officeDocument/2006/relationships/worksheet" Target="/xl/worksheets/sheet8.xml" Id="Reedadd6009ba4b8f" /><Relationship Type="http://schemas.openxmlformats.org/officeDocument/2006/relationships/worksheet" Target="/xl/worksheets/sheet9.xml" Id="R33d2e1475f744da8" /><Relationship Type="http://schemas.openxmlformats.org/officeDocument/2006/relationships/worksheet" Target="/xl/worksheets/sheet10.xml" Id="R3823317928734c03" /><Relationship Type="http://schemas.openxmlformats.org/officeDocument/2006/relationships/worksheet" Target="/xl/worksheets/sheet11.xml" Id="Rdea1ce062a734faa" /><Relationship Type="http://schemas.openxmlformats.org/officeDocument/2006/relationships/worksheet" Target="/xl/worksheets/sheet12.xml" Id="Rdbfa2bb2ab2b40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4" max="4" width="76" hidden="0" customWidth="1"/>
  </x:cols>
  <x:sheetData>
    <x:row r="1" ht="25" customHeight="1">
      <x:c r="A1" s="7"/>
      <x:c r="B1" s="7"/>
      <x:c r="C1" s="4" t="str">
        <x:v>Startup funding: market totals, instruments and outcomes</x:v>
      </x:c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/>
      <x:c r="B2" s="7"/>
      <x:c r="C2" s="5" t="str">
        <x:v>Companion to the three-part What Startup Funding Figures Actually Measure series. Tracker observations, screenshot claims, derived arithmetic and hypothetical company scenarios are kept separate.</x:v>
      </x:c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7"/>
      <x:c r="B4" s="7"/>
      <x:c r="C4" s="6" t="str">
        <x:v>Evidence cutoff</x:v>
      </x:c>
      <x:c r="D4" s="8" t="n">
        <x:v>46289</x:v>
      </x:c>
      <x:c r="E4" s="6"/>
      <x:c r="F4" s="6"/>
      <x:c r="G4" s="6"/>
      <x:c r="H4" s="6"/>
      <x:c r="I4" s="6"/>
      <x:c r="J4" s="6"/>
      <x:c r="K4" s="6"/>
      <x:c r="L4" s="6"/>
    </x:row>
    <x:row r="5">
      <x:c r="A5" s="7"/>
      <x:c r="B5" s="7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>
      <x:c r="A6" s="7"/>
      <x:c r="B6" s="7"/>
      <x:c r="C6" s="10" t="str">
        <x:v>Workbook outputs</x:v>
      </x:c>
      <x:c r="D6" s="10" t="str">
        <x:v>Result</x:v>
      </x:c>
      <x:c r="E6" s="6"/>
      <x:c r="F6" s="6"/>
      <x:c r="G6" s="6"/>
      <x:c r="H6" s="6"/>
      <x:c r="I6" s="6"/>
      <x:c r="J6" s="6"/>
      <x:c r="K6" s="6"/>
      <x:c r="L6" s="6"/>
    </x:row>
    <x:row r="7">
      <x:c r="A7" s="7"/>
      <x:c r="B7" s="7"/>
      <x:c r="C7" s="6" t="str">
        <x:v>H1 2026 funding change vs H1 2025</x:v>
      </x:c>
      <x:c r="D7" s="12" t="n">
        <x:f>'Market Metrics'!D16</x:f>
        <x:v>-0.44493392070484583</x:v>
      </x:c>
      <x:c r="E7" s="6"/>
      <x:c r="F7" s="6"/>
      <x:c r="G7" s="6"/>
      <x:c r="H7" s="6"/>
      <x:c r="I7" s="6"/>
      <x:c r="J7" s="6"/>
      <x:c r="K7" s="6"/>
      <x:c r="L7" s="6"/>
    </x:row>
    <x:row r="8">
      <x:c r="A8" s="7"/>
      <x:c r="B8" s="7"/>
      <x:c r="C8" s="6" t="str">
        <x:v>ATBD 2025 debt share of debt + equity subtotal</x:v>
      </x:c>
      <x:c r="D8" s="12" t="n">
        <x:f>'Funding Mix'!D11</x:f>
        <x:v>0.6031088082901555</x:v>
      </x:c>
      <x:c r="E8" s="6"/>
      <x:c r="F8" s="6"/>
      <x:c r="G8" s="6"/>
      <x:c r="H8" s="6"/>
      <x:c r="I8" s="6"/>
      <x:c r="J8" s="6"/>
      <x:c r="K8" s="6"/>
      <x:c r="L8" s="6"/>
    </x:row>
    <x:row r="9">
      <x:c r="A9" s="7"/>
      <x:c r="B9" s="7"/>
      <x:c r="C9" s="6" t="str">
        <x:v>13-company screenshot amount sum (KES bn)</x:v>
      </x:c>
      <x:c r="D9" s="11" t="n">
        <x:f>'Screenshot List'!D19</x:f>
        <x:v>93.31</x:v>
      </x:c>
      <x:c r="E9" s="6"/>
      <x:c r="F9" s="6"/>
      <x:c r="G9" s="6"/>
      <x:c r="H9" s="6"/>
      <x:c r="I9" s="6"/>
      <x:c r="J9" s="6"/>
      <x:c r="K9" s="6"/>
      <x:c r="L9" s="6"/>
    </x:row>
    <x:row r="10">
      <x:c r="A10" s="7"/>
      <x:c r="B10" s="7"/>
      <x:c r="C10" s="6" t="str">
        <x:v>Top-five share of that selected list</x:v>
      </x:c>
      <x:c r="D10" s="12" t="n">
        <x:f>'Screenshot List'!D21</x:f>
        <x:v>0.8112742471332118</x:v>
      </x:c>
      <x:c r="E10" s="6"/>
      <x:c r="F10" s="6"/>
      <x:c r="G10" s="6"/>
      <x:c r="H10" s="6"/>
      <x:c r="I10" s="6"/>
      <x:c r="J10" s="6"/>
      <x:c r="K10" s="6"/>
      <x:c r="L10" s="6"/>
    </x:row>
    <x:row r="11">
      <x:c r="A11" s="7"/>
      <x:c r="B11" s="7"/>
      <x:c r="C11" s="6" t="str">
        <x:v>Illustrative 24-month debt service (KES)</x:v>
      </x:c>
      <x:c r="D11" s="13" t="n">
        <x:f>'Debt Service'!G38</x:f>
        <x:v>118750000.00000003</x:v>
      </x:c>
      <x:c r="E11" s="6"/>
      <x:c r="F11" s="6"/>
      <x:c r="G11" s="6"/>
      <x:c r="H11" s="6"/>
      <x:c r="I11" s="6"/>
      <x:c r="J11" s="6"/>
      <x:c r="K11" s="6"/>
      <x:c r="L11" s="6"/>
    </x:row>
    <x:row r="12">
      <x:c r="A12" s="7"/>
      <x:c r="B12" s="7"/>
      <x:c r="C12" s="6" t="str">
        <x:v>Simple KSh 120m pre-money / KSh 30m equity dilution</x:v>
      </x:c>
      <x:c r="D12" s="12" t="n">
        <x:f>'Equity Dilution'!G6</x:f>
        <x:v>0.2</x:v>
      </x:c>
      <x:c r="E12" s="6"/>
      <x:c r="F12" s="6"/>
      <x:c r="G12" s="6"/>
      <x:c r="H12" s="6"/>
      <x:c r="I12" s="6"/>
      <x:c r="J12" s="6"/>
      <x:c r="K12" s="6"/>
      <x:c r="L12" s="6"/>
    </x:row>
    <x:row r="13">
      <x:c r="A13" s="7"/>
      <x:c r="B13" s="7"/>
      <x:c r="C13" s="6" t="str">
        <x:v>Partech less ATBD 2025 total (USD m)</x:v>
      </x:c>
      <x:c r="D13" s="13" t="n">
        <x:f>'Provider Comparison'!D11</x:f>
        <x:v>56</x:v>
      </x:c>
      <x:c r="E13" s="6"/>
      <x:c r="F13" s="6"/>
      <x:c r="G13" s="6"/>
      <x:c r="H13" s="6"/>
      <x:c r="I13" s="6"/>
      <x:c r="J13" s="6"/>
      <x:c r="K13" s="6"/>
      <x:c r="L13" s="6"/>
    </x:row>
    <x:row r="14">
      <x:c r="A14" s="7"/>
      <x:c r="B14" s="7"/>
      <x:c r="C14" s="4" t="str">
        <x:v>Reading rule</x:v>
      </x:c>
      <x:c r="D14" s="14" t="str">
        <x:v>ATBD's secondary-reported US$984m total and its US$965m published debt-plus-equity subtotal leave US$19m unassigned. Partech reports about US$1.04bn on a different coverage basis.</x:v>
      </x:c>
      <x:c r="E14" s="6"/>
      <x:c r="F14" s="6"/>
      <x:c r="G14" s="6"/>
      <x:c r="H14" s="6"/>
      <x:c r="I14" s="6"/>
      <x:c r="J14" s="6"/>
      <x:c r="K14" s="6"/>
      <x:c r="L14" s="6"/>
    </x:row>
    <x:row r="15">
      <x:c r="A15" s="7"/>
      <x:c r="B15" s="7"/>
      <x:c r="C15" s="4" t="str">
        <x:v>List rule</x:v>
      </x:c>
      <x:c r="D15" s="14" t="str">
        <x:v>The 13 KES amounts reproduce a selected screenshot list. They do not verify rounds, receipts, losses or Kenya-wide concentration.</x:v>
      </x:c>
      <x:c r="E15" s="6"/>
      <x:c r="F15" s="6"/>
      <x:c r="G15" s="6"/>
      <x:c r="H15" s="6"/>
      <x:c r="I15" s="6"/>
      <x:c r="J15" s="6"/>
      <x:c r="K15" s="6"/>
      <x:c r="L15" s="6"/>
    </x:row>
    <x:row r="16">
      <x:c r="A16" s="7"/>
      <x:c r="B16" s="7"/>
      <x:c r="C16" s="4" t="str">
        <x:v>Scenario rule</x:v>
      </x:c>
      <x:c r="D16" s="14" t="str">
        <x:v>The debt schedule and equity calculations are hypothetical teaching examples; no named startup's private contract terms are inferred.</x:v>
      </x:c>
      <x:c r="E16" s="6"/>
      <x:c r="F16" s="6"/>
      <x:c r="G16" s="6"/>
      <x:c r="H16" s="6"/>
      <x:c r="I16" s="6"/>
      <x:c r="J16" s="6"/>
      <x:c r="K16" s="6"/>
      <x:c r="L16" s="6"/>
    </x:row>
    <x:row r="17">
      <x:c r="A17" s="7"/>
      <x:c r="B17" s="7"/>
      <x:c r="C17" s="4" t="str">
        <x:v>Workbook use</x:v>
      </x:c>
      <x:c r="D17" s="14" t="str">
        <x:v>Blue/yellow cells are editable. Enter a deal only after recording the legal recipient, source, instrument, date, currency and cash status.</x:v>
      </x:c>
      <x:c r="E17" s="6"/>
      <x:c r="F17" s="6"/>
      <x:c r="G17" s="6"/>
      <x:c r="H17" s="6"/>
      <x:c r="I17" s="6"/>
      <x:c r="J17" s="6"/>
      <x:c r="K17" s="6"/>
      <x:c r="L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  <x:c r="L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8" hidden="0" customWidth="1"/>
    <x:col min="4" max="4" width="18" hidden="0" customWidth="1"/>
    <x:col min="5" max="5" width="16" hidden="0" customWidth="1"/>
    <x:col min="6" max="6" width="31" hidden="0" customWidth="1"/>
    <x:col min="7" max="7" width="63" hidden="0" customWidth="1"/>
  </x:cols>
  <x:sheetData>
    <x:row r="1" ht="25" customHeight="1">
      <x:c r="A1" s="7"/>
      <x:c r="B1" s="7"/>
      <x:c r="C1" s="4" t="str">
        <x:v>Tracker observations and matched periods</x:v>
      </x:c>
      <x:c r="D1" s="4"/>
      <x:c r="E1" s="4"/>
      <x:c r="F1" s="4"/>
      <x:c r="G1" s="4"/>
      <x:c r="H1" s="4"/>
    </x:row>
    <x:row r="2">
      <x:c r="A2" s="7"/>
      <x:c r="B2" s="7"/>
      <x:c r="C2" s="5" t="str">
        <x:v>Published aggregates retain their source definition. Half-year is compared with half-year; rounded figures and market-attribution rules remain visible.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6"/>
      <x:c r="D4" s="6"/>
      <x:c r="E4" s="6"/>
      <x:c r="F4" s="6"/>
      <x:c r="G4" s="6"/>
      <x:c r="H4" s="6"/>
    </x:row>
    <x:row r="5" ht="30" customHeight="1">
      <x:c r="A5" s="7"/>
      <x:c r="B5" s="7"/>
      <x:c r="C5" s="18" t="str">
        <x:v>Measure</x:v>
      </x:c>
      <x:c r="D5" s="18" t="str">
        <x:v>Value</x:v>
      </x:c>
      <x:c r="E5" s="18" t="str">
        <x:v>Unit</x:v>
      </x:c>
      <x:c r="F5" s="18" t="str">
        <x:v>Source wording</x:v>
      </x:c>
      <x:c r="G5" s="18" t="str">
        <x:v>Status / limit</x:v>
      </x:c>
      <x:c r="H5" s="6"/>
    </x:row>
    <x:row r="6">
      <x:c r="A6" s="7"/>
      <x:c r="B6" s="7"/>
      <x:c r="C6" s="23" t="str">
        <x:v>Kenya calendar 2025 ATBD total (exact secondary report)</x:v>
      </x:c>
      <x:c r="D6" s="27" t="n">
        <x:v>984</x:v>
      </x:c>
      <x:c r="E6" s="20" t="str">
        <x:v>USD m</x:v>
      </x:c>
      <x:c r="F6" s="23" t="str">
        <x:v>US$984m</x:v>
      </x:c>
      <x:c r="G6" s="23" t="str">
        <x:v>Contemporary reports quote the tracker; official post says almost US$1bn</x:v>
      </x:c>
      <x:c r="H6" s="6"/>
    </x:row>
    <x:row r="7">
      <x:c r="A7" s="7"/>
      <x:c r="B7" s="7"/>
      <x:c r="C7" s="24" t="str">
        <x:v>Kenya calendar 2025 Partech total (approximate)</x:v>
      </x:c>
      <x:c r="D7" s="28" t="n">
        <x:v>1040</x:v>
      </x:c>
      <x:c r="E7" s="21" t="str">
        <x:v>USD m</x:v>
      </x:c>
      <x:c r="F7" s="24" t="str">
        <x:v>US$1.04bn (+72% YoY)</x:v>
      </x:c>
      <x:c r="G7" s="24" t="str">
        <x:v>Primary provider report; different coverage universe</x:v>
      </x:c>
      <x:c r="H7" s="6"/>
    </x:row>
    <x:row r="8">
      <x:c r="A8" s="7"/>
      <x:c r="B8" s="7"/>
      <x:c r="C8" s="24" t="str">
        <x:v>Kenya 2025 debt</x:v>
      </x:c>
      <x:c r="D8" s="28" t="n">
        <x:v>582</x:v>
      </x:c>
      <x:c r="E8" s="21" t="str">
        <x:v>USD m</x:v>
      </x:c>
      <x:c r="F8" s="24" t="str">
        <x:v>US$582m</x:v>
      </x:c>
      <x:c r="G8" s="24" t="str">
        <x:v>Tracker-reported</x:v>
      </x:c>
      <x:c r="H8" s="6"/>
    </x:row>
    <x:row r="9">
      <x:c r="A9" s="7"/>
      <x:c r="B9" s="7"/>
      <x:c r="C9" s="24" t="str">
        <x:v>Kenya 2025 equity</x:v>
      </x:c>
      <x:c r="D9" s="28" t="n">
        <x:v>383</x:v>
      </x:c>
      <x:c r="E9" s="21" t="str">
        <x:v>USD m</x:v>
      </x:c>
      <x:c r="F9" s="24" t="str">
        <x:v>US$383m</x:v>
      </x:c>
      <x:c r="G9" s="24" t="str">
        <x:v>Tracker-reported; source says equity almost doubled YoY</x:v>
      </x:c>
      <x:c r="H9" s="6"/>
    </x:row>
    <x:row r="10">
      <x:c r="A10" s="7"/>
      <x:c r="B10" s="7"/>
      <x:c r="C10" s="24" t="str">
        <x:v>Kenyan ventures raising at least US$100k, 2025</x:v>
      </x:c>
      <x:c r="D10" s="28" t="n">
        <x:v>75</x:v>
      </x:c>
      <x:c r="E10" s="21" t="str">
        <x:v>ventures</x:v>
      </x:c>
      <x:c r="F10" s="24" t="str">
        <x:v>Down 23% YoY</x:v>
      </x:c>
      <x:c r="G10" s="24" t="str">
        <x:v>Tracker threshold; not number of rounds</x:v>
      </x:c>
      <x:c r="H10" s="6"/>
    </x:row>
    <x:row r="11">
      <x:c r="A11" s="7"/>
      <x:c r="B11" s="7"/>
      <x:c r="C11" s="24" t="str">
        <x:v>Kenya H1 2025 total</x:v>
      </x:c>
      <x:c r="D11" s="28" t="n">
        <x:v>227</x:v>
      </x:c>
      <x:c r="E11" s="21" t="str">
        <x:v>USD m</x:v>
      </x:c>
      <x:c r="F11" s="24" t="str">
        <x:v>US$227m</x:v>
      </x:c>
      <x:c r="G11" s="24" t="str">
        <x:v>Tracker-reported</x:v>
      </x:c>
      <x:c r="H11" s="6"/>
    </x:row>
    <x:row r="12">
      <x:c r="A12" s="7"/>
      <x:c r="B12" s="7"/>
      <x:c r="C12" s="24" t="str">
        <x:v>Kenya H1 2026 total</x:v>
      </x:c>
      <x:c r="D12" s="28" t="n">
        <x:v>126</x:v>
      </x:c>
      <x:c r="E12" s="21" t="str">
        <x:v>USD m</x:v>
      </x:c>
      <x:c r="F12" s="24" t="str">
        <x:v>US$126m</x:v>
      </x:c>
      <x:c r="G12" s="24" t="str">
        <x:v>Tracker-reported</x:v>
      </x:c>
      <x:c r="H12" s="6"/>
    </x:row>
    <x:row r="13">
      <x:c r="A13" s="7"/>
      <x:c r="B13" s="7"/>
      <x:c r="C13" s="24" t="str">
        <x:v>Kenya H1 2026 equity</x:v>
      </x:c>
      <x:c r="D13" s="28" t="n">
        <x:v>46</x:v>
      </x:c>
      <x:c r="E13" s="21" t="str">
        <x:v>USD m</x:v>
      </x:c>
      <x:c r="F13" s="24" t="str">
        <x:v>US$46m</x:v>
      </x:c>
      <x:c r="G13" s="24" t="str">
        <x:v>Tracker-reported</x:v>
      </x:c>
      <x:c r="H13" s="6"/>
    </x:row>
    <x:row r="14">
      <x:c r="A14" s="7"/>
      <x:c r="B14" s="7"/>
      <x:c r="C14" s="24" t="str">
        <x:v>Nigeria H1 2026 equity</x:v>
      </x:c>
      <x:c r="D14" s="28" t="n">
        <x:v>214</x:v>
      </x:c>
      <x:c r="E14" s="21" t="str">
        <x:v>USD m</x:v>
      </x:c>
      <x:c r="F14" s="24" t="str">
        <x:v>US$214m</x:v>
      </x:c>
      <x:c r="G14" s="24" t="str">
        <x:v>Tracker-reported</x:v>
      </x:c>
      <x:c r="H14" s="6"/>
    </x:row>
    <x:row r="15">
      <x:c r="A15" s="7"/>
      <x:c r="B15" s="7"/>
      <x:c r="C15" s="24" t="str">
        <x:v>Egypt H1 2026 equity</x:v>
      </x:c>
      <x:c r="D15" s="28" t="n">
        <x:v>183</x:v>
      </x:c>
      <x:c r="E15" s="21" t="str">
        <x:v>USD m</x:v>
      </x:c>
      <x:c r="F15" s="24" t="str">
        <x:v>US$183m</x:v>
      </x:c>
      <x:c r="G15" s="24" t="str">
        <x:v>Tracker-reported</x:v>
      </x:c>
      <x:c r="H15" s="6"/>
    </x:row>
    <x:row r="16">
      <x:c r="A16" s="7"/>
      <x:c r="B16" s="7"/>
      <x:c r="C16" s="25" t="str">
        <x:v>H1 2026 change vs H1 2025</x:v>
      </x:c>
      <x:c r="D16" s="29" t="n">
        <x:f>D12/D11-1</x:f>
        <x:v>-0.44493392070484583</x:v>
      </x:c>
      <x:c r="E16" s="22" t="str">
        <x:v>%</x:v>
      </x:c>
      <x:c r="F16" s="25" t="str">
        <x:v>Calculated</x:v>
      </x:c>
      <x:c r="G16" s="25" t="str">
        <x:v>Uses published rounded totals; not a causal explanation</x:v>
      </x:c>
      <x:c r="H16" s="6"/>
    </x:row>
    <x:row r="17">
      <x:c r="A17" s="7"/>
      <x:c r="B17" s="7"/>
      <x:c r="C17" s="6"/>
      <x:c r="D17" s="6"/>
      <x:c r="E17" s="6"/>
      <x:c r="F17" s="6"/>
      <x:c r="G17" s="6"/>
      <x:c r="H17" s="6"/>
    </x:row>
    <x:row r="18">
      <x:c r="A18" s="7"/>
      <x:c r="B18" s="7"/>
      <x:c r="C18" s="6"/>
      <x:c r="D18" s="6"/>
      <x:c r="E18" s="6"/>
      <x:c r="F18" s="6"/>
      <x:c r="G18" s="6"/>
      <x:c r="H18" s="6"/>
    </x:row>
    <x:row r="19">
      <x:c r="A19" s="7"/>
      <x:c r="B19" s="7"/>
      <x:c r="C19" s="14" t="str">
        <x:v>The screenshot's 82% five-company claim is not populated here as a Kenya result. A separate tracker report's 82% is Africa-wide energy-sector concentration. Without a Kenya deal ledger and country-allocation rule, the two denominators cannot be treated as the same statistic.</x:v>
      </x:c>
      <x:c r="D19" s="14"/>
      <x:c r="E19" s="14"/>
      <x:c r="F19" s="14"/>
      <x:c r="G19" s="14"/>
      <x:c r="H19" s="6"/>
    </x:row>
    <x:row r="20">
      <x:c r="A20" s="7"/>
      <x:c r="B20" s="7"/>
      <x:c r="C20" s="14"/>
      <x:c r="D20" s="14"/>
      <x:c r="E20" s="14"/>
      <x:c r="F20" s="14"/>
      <x:c r="G20" s="14"/>
      <x:c r="H20" s="6"/>
    </x:row>
    <x:row r="21">
      <x:c r="A21" s="7"/>
      <x:c r="B21" s="7"/>
      <x:c r="C21" s="6"/>
      <x:c r="D21" s="6"/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mergeCells>
    <x:mergeCell ref="C19:G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2" hidden="0" customWidth="1"/>
    <x:col min="4" max="4" width="20" hidden="0" customWidth="1"/>
    <x:col min="5" max="5" width="23" hidden="0" customWidth="1"/>
    <x:col min="6" max="6" width="84" hidden="0" customWidth="1"/>
    <x:col min="7" max="7" width="23" hidden="0" customWidth="1"/>
    <x:col min="8" max="8" width="18" hidden="0" customWidth="1"/>
    <x:col min="9" max="9" width="21" hidden="0" customWidth="1"/>
    <x:col min="10" max="10" width="20" hidden="0" customWidth="1"/>
    <x:col min="11" max="11" width="19" hidden="0" customWidth="1"/>
    <x:col min="12" max="12" width="78" hidden="0" customWidth="1"/>
    <x:col min="13" max="13" width="34" hidden="0" customWidth="1"/>
  </x:cols>
  <x:sheetData>
    <x:row r="1" ht="25" customHeight="1">
      <x:c r="A1" s="7"/>
      <x:c r="B1" s="7"/>
      <x:c r="C1" s="4" t="str">
        <x:v>Two provider series, two coverage universes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/>
      <x:c r="B2" s="7"/>
      <x:c r="C2" s="5" t="str">
        <x:v>Use each provider's figures and trends within its own stated scope. The side-by-side differences are diagnostics, not a correction or blended market estimate.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0" customHeight="1">
      <x:c r="A5" s="7"/>
      <x:c r="B5" s="7"/>
      <x:c r="C5" s="18" t="str">
        <x:v>Provider</x:v>
      </x:c>
      <x:c r="D5" s="18" t="str">
        <x:v>Kenya total (USD m)</x:v>
      </x:c>
      <x:c r="E5" s="18" t="str">
        <x:v>Total YoY as reported</x:v>
      </x:c>
      <x:c r="F5" s="18" t="str">
        <x:v>Equity (USD m)</x:v>
      </x:c>
      <x:c r="G5" s="18" t="str">
        <x:v>Equity YoY as reported</x:v>
      </x:c>
      <x:c r="H5" s="18" t="str">
        <x:v>Debt (USD m)</x:v>
      </x:c>
      <x:c r="I5" s="18" t="str">
        <x:v>Debt YoY as reported</x:v>
      </x:c>
      <x:c r="J5" s="18" t="str">
        <x:v>Equity + debt subtotal</x:v>
      </x:c>
      <x:c r="K5" s="18" t="str">
        <x:v>Total less subtotal</x:v>
      </x:c>
      <x:c r="L5" s="18" t="str">
        <x:v>Definition and count unit</x:v>
      </x:c>
      <x:c r="M5" s="18" t="str">
        <x:v>Source IDs</x:v>
      </x:c>
    </x:row>
    <x:row r="6">
      <x:c r="A6" s="7"/>
      <x:c r="B6" s="7"/>
      <x:c r="C6" s="20" t="str">
        <x:v>Africa: The Big Deal</x:v>
      </x:c>
      <x:c r="D6" s="34" t="n">
        <x:v>984</x:v>
      </x:c>
      <x:c r="E6" s="32" t="str">
        <x:v>+52% stated</x:v>
      </x:c>
      <x:c r="F6" s="34" t="n">
        <x:v>383</x:v>
      </x:c>
      <x:c r="G6" s="32" t="str">
        <x:v>Almost doubled</x:v>
      </x:c>
      <x:c r="H6" s="34" t="n">
        <x:v>582</x:v>
      </x:c>
      <x:c r="I6" s="32" t="str">
        <x:v>+33%</x:v>
      </x:c>
      <x:c r="J6" s="38" t="n">
        <x:f>F6+H6</x:f>
        <x:v>965</x:v>
      </x:c>
      <x:c r="K6" s="38" t="n">
        <x:f>D6-J6</x:f>
        <x:v>19</x:v>
      </x:c>
      <x:c r="L6" s="23" t="str">
        <x:v>$100k+; equity, debt and grants; Africa startup tracker; excludes exits; 75 unique Kenyan ventures.</x:v>
      </x:c>
      <x:c r="M6" s="23" t="str">
        <x:v>ATBD-25; ATBD-24; ATBD-EXACT; ATBD-VINTAGE</x:v>
      </x:c>
    </x:row>
    <x:row r="7">
      <x:c r="A7" s="7"/>
      <x:c r="B7" s="7"/>
      <x:c r="C7" s="22" t="str">
        <x:v>Partech Africa Tech VC</x:v>
      </x:c>
      <x:c r="D7" s="35" t="n">
        <x:v>1040</x:v>
      </x:c>
      <x:c r="E7" s="33" t="str">
        <x:v>+72% stated</x:v>
      </x:c>
      <x:c r="F7" s="35" t="n">
        <x:v>539</x:v>
      </x:c>
      <x:c r="G7" s="33" t="str">
        <x:v>+144%</x:v>
      </x:c>
      <x:c r="H7" s="35" t="n">
        <x:v>498</x:v>
      </x:c>
      <x:c r="I7" s="33" t="str">
        <x:v>+30%</x:v>
      </x:c>
      <x:c r="J7" s="39" t="n">
        <x:f>F7+H7</x:f>
        <x:v>1037</x:v>
      </x:c>
      <x:c r="K7" s="39" t="n">
        <x:f>D7-J7</x:f>
        <x:v>3</x:v>
      </x:c>
      <x:c r="L7" s="25" t="str">
        <x:v>$200k+ equity or debt; African tech and digital startups; primary market by operations/revenue; 91 Kenya deals.</x:v>
      </x:c>
      <x:c r="M7" s="25" t="str">
        <x:v>PARTECH-25</x:v>
      </x:c>
    </x:row>
    <x:row r="8">
      <x:c r="A8" s="7"/>
      <x:c r="B8" s="7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</x:row>
    <x:row r="9">
      <x:c r="A9" s="7"/>
      <x:c r="B9" s="7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</x:row>
    <x:row r="10" ht="30" customHeight="1">
      <x:c r="A10" s="7"/>
      <x:c r="B10" s="7"/>
      <x:c r="C10" s="18" t="str">
        <x:v>Calculation</x:v>
      </x:c>
      <x:c r="D10" s="18" t="str">
        <x:v>Result</x:v>
      </x:c>
      <x:c r="E10" s="18" t="str">
        <x:v>Unit</x:v>
      </x:c>
      <x:c r="F10" s="18" t="str">
        <x:v>Interpretation / limit</x:v>
      </x:c>
      <x:c r="G10" s="6"/>
      <x:c r="H10" s="6"/>
      <x:c r="I10" s="6"/>
      <x:c r="J10" s="6"/>
      <x:c r="K10" s="6"/>
      <x:c r="L10" s="6"/>
      <x:c r="M10" s="6"/>
    </x:row>
    <x:row r="11">
      <x:c r="A11" s="7"/>
      <x:c r="B11" s="7"/>
      <x:c r="C11" s="23" t="str">
        <x:v>Partech less ATBD reported 2025 total</x:v>
      </x:c>
      <x:c r="D11" s="38" t="n">
        <x:f>D7-D6</x:f>
        <x:v>56</x:v>
      </x:c>
      <x:c r="E11" s="20" t="str">
        <x:v>USD m</x:v>
      </x:c>
      <x:c r="F11" s="23" t="str">
        <x:v>Uses the approximate Partech US$1.04bn and the exact US$984m cited in contemporary coverage.</x:v>
      </x:c>
      <x:c r="G11" s="6"/>
      <x:c r="H11" s="6"/>
      <x:c r="I11" s="6"/>
      <x:c r="J11" s="6"/>
      <x:c r="K11" s="6"/>
      <x:c r="L11" s="6"/>
      <x:c r="M11" s="6"/>
    </x:row>
    <x:row r="12">
      <x:c r="A12" s="7"/>
      <x:c r="B12" s="7"/>
      <x:c r="C12" s="24" t="str">
        <x:v>Provider total difference / ATBD total</x:v>
      </x:c>
      <x:c r="D12" s="45" t="n">
        <x:f>D11/D6</x:f>
        <x:v>0.056910569105691054</x:v>
      </x:c>
      <x:c r="E12" s="21" t="str">
        <x:v>%</x:v>
      </x:c>
      <x:c r="F12" s="24" t="str">
        <x:v>Relative spread; the coverage universes differ and should not be averaged.</x:v>
      </x:c>
      <x:c r="G12" s="6"/>
      <x:c r="H12" s="6"/>
      <x:c r="I12" s="6"/>
      <x:c r="J12" s="6"/>
      <x:c r="K12" s="6"/>
      <x:c r="L12" s="6"/>
      <x:c r="M12" s="6"/>
    </x:row>
    <x:row r="13">
      <x:c r="A13" s="7"/>
      <x:c r="B13" s="7"/>
      <x:c r="C13" s="24" t="str">
        <x:v>ATBD 2024 Kenya total</x:v>
      </x:c>
      <x:c r="D13" s="43" t="n">
        <x:v>638</x:v>
      </x:c>
      <x:c r="E13" s="21" t="str">
        <x:v>USD m</x:v>
      </x:c>
      <x:c r="F13" s="24" t="str">
        <x:v>ATBD 2024 Round-Up; same provider series, published historical value.</x:v>
      </x:c>
      <x:c r="G13" s="6"/>
      <x:c r="H13" s="6"/>
      <x:c r="I13" s="6"/>
      <x:c r="J13" s="6"/>
      <x:c r="K13" s="6"/>
      <x:c r="L13" s="6"/>
      <x:c r="M13" s="6"/>
    </x:row>
    <x:row r="14">
      <x:c r="A14" s="7"/>
      <x:c r="B14" s="7"/>
      <x:c r="C14" s="24" t="str">
        <x:v>ATBD 2025 growth recalculated from reported totals</x:v>
      </x:c>
      <x:c r="D14" s="45" t="n">
        <x:f>D6/D13-1</x:f>
        <x:v>0.542319749216301</x:v>
      </x:c>
      <x:c r="E14" s="21" t="str">
        <x:v>%</x:v>
      </x:c>
      <x:c r="F14" s="24" t="str">
        <x:v>(984 / 638) - 1; calculated 54.23%, versus ATBD's stated +52%.</x:v>
      </x:c>
      <x:c r="G14" s="6"/>
      <x:c r="H14" s="6"/>
      <x:c r="I14" s="6"/>
      <x:c r="J14" s="6"/>
      <x:c r="K14" s="6"/>
      <x:c r="L14" s="6"/>
      <x:c r="M14" s="6"/>
    </x:row>
    <x:row r="15">
      <x:c r="A15" s="7"/>
      <x:c r="B15" s="7"/>
      <x:c r="C15" s="24" t="str">
        <x:v>ATBD 2025 growth as stated</x:v>
      </x:c>
      <x:c r="D15" s="44" t="n">
        <x:v>0.52</x:v>
      </x:c>
      <x:c r="E15" s="21" t="str">
        <x:v>%</x:v>
      </x:c>
      <x:c r="F15" s="24" t="str">
        <x:v>Provider statement; possible source-vintage or rounding difference not resolved here.</x:v>
      </x:c>
      <x:c r="G15" s="6"/>
      <x:c r="H15" s="6"/>
      <x:c r="I15" s="6"/>
      <x:c r="J15" s="6"/>
      <x:c r="K15" s="6"/>
      <x:c r="L15" s="6"/>
      <x:c r="M15" s="6"/>
    </x:row>
    <x:row r="16">
      <x:c r="A16" s="7"/>
      <x:c r="B16" s="7"/>
      <x:c r="C16" s="24" t="str">
        <x:v>ATBD 2024 base implied by 984m at stated +52%</x:v>
      </x:c>
      <x:c r="D16" s="46" t="n">
        <x:f>D6/(1+D15)</x:f>
        <x:v>647.3684210526316</x:v>
      </x:c>
      <x:c r="E16" s="21" t="str">
        <x:v>USD m</x:v>
      </x:c>
      <x:c r="F16" s="24" t="str">
        <x:v>984 / 1.52 = 647.37; compare with the official 2024 value of 638.</x:v>
      </x:c>
      <x:c r="G16" s="6"/>
      <x:c r="H16" s="6"/>
      <x:c r="I16" s="6"/>
      <x:c r="J16" s="6"/>
      <x:c r="K16" s="6"/>
      <x:c r="L16" s="6"/>
      <x:c r="M16" s="6"/>
    </x:row>
    <x:row r="17">
      <x:c r="A17" s="7"/>
      <x:c r="B17" s="7"/>
      <x:c r="C17" s="24" t="str">
        <x:v>Implied base less official 2024 base</x:v>
      </x:c>
      <x:c r="D17" s="46" t="n">
        <x:f>D16-D13</x:f>
        <x:v>9.368421052631561</x:v>
      </x:c>
      <x:c r="E17" s="21" t="str">
        <x:v>USD m</x:v>
      </x:c>
      <x:c r="F17" s="24" t="str">
        <x:v>647.37 - 638 = 9.37; source-vintage / rounding explanation is not published.</x:v>
      </x:c>
      <x:c r="G17" s="6"/>
      <x:c r="H17" s="6"/>
      <x:c r="I17" s="6"/>
      <x:c r="J17" s="6"/>
      <x:c r="K17" s="6"/>
      <x:c r="L17" s="6"/>
      <x:c r="M17" s="6"/>
    </x:row>
    <x:row r="18">
      <x:c r="A18" s="7"/>
      <x:c r="B18" s="7"/>
      <x:c r="C18" s="24" t="str">
        <x:v>Recalculated less stated ATBD growth</x:v>
      </x:c>
      <x:c r="D18" s="45" t="n">
        <x:f>D14-D15</x:f>
        <x:v>0.022319749216300977</x:v>
      </x:c>
      <x:c r="E18" s="21" t="str">
        <x:v>percentage points</x:v>
      </x:c>
      <x:c r="F18" s="24" t="str">
        <x:v>54.23% - 52.00% = 2.23 percentage points.</x:v>
      </x:c>
      <x:c r="G18" s="6"/>
      <x:c r="H18" s="6"/>
      <x:c r="I18" s="6"/>
      <x:c r="J18" s="6"/>
      <x:c r="K18" s="6"/>
      <x:c r="L18" s="6"/>
      <x:c r="M18" s="6"/>
    </x:row>
    <x:row r="19">
      <x:c r="A19" s="7"/>
      <x:c r="B19" s="7"/>
      <x:c r="C19" s="24" t="str">
        <x:v>ATBD debt / equity-plus-debt subtotal</x:v>
      </x:c>
      <x:c r="D19" s="45" t="n">
        <x:f>H6/J6</x:f>
        <x:v>0.6031088082901555</x:v>
      </x:c>
      <x:c r="E19" s="21" t="str">
        <x:v>%</x:v>
      </x:c>
      <x:c r="F19" s="24" t="str">
        <x:v>582 / (582 + 383) = 60.31%.</x:v>
      </x:c>
      <x:c r="G19" s="6"/>
      <x:c r="H19" s="6"/>
      <x:c r="I19" s="6"/>
      <x:c r="J19" s="6"/>
      <x:c r="K19" s="6"/>
      <x:c r="L19" s="6"/>
      <x:c r="M19" s="6"/>
    </x:row>
    <x:row r="20">
      <x:c r="A20" s="7"/>
      <x:c r="B20" s="7"/>
      <x:c r="C20" s="24" t="str">
        <x:v>Partech debt / equity-plus-debt subtotal</x:v>
      </x:c>
      <x:c r="D20" s="45" t="n">
        <x:f>H7/J7</x:f>
        <x:v>0.4802314368370299</x:v>
      </x:c>
      <x:c r="E20" s="21" t="str">
        <x:v>%</x:v>
      </x:c>
      <x:c r="F20" s="24" t="str">
        <x:v>498 / (498 + 539) = 48.02%.</x:v>
      </x:c>
      <x:c r="G20" s="6"/>
      <x:c r="H20" s="6"/>
      <x:c r="I20" s="6"/>
      <x:c r="J20" s="6"/>
      <x:c r="K20" s="6"/>
      <x:c r="L20" s="6"/>
      <x:c r="M20" s="6"/>
    </x:row>
    <x:row r="21">
      <x:c r="A21" s="7"/>
      <x:c r="B21" s="7"/>
      <x:c r="C21" s="24" t="str">
        <x:v>ATBD equity / equity-plus-debt subtotal</x:v>
      </x:c>
      <x:c r="D21" s="45" t="n">
        <x:f>F6/J6</x:f>
        <x:v>0.39689119170984455</x:v>
      </x:c>
      <x:c r="E21" s="21" t="str">
        <x:v>%</x:v>
      </x:c>
      <x:c r="F21" s="24" t="str">
        <x:v>383 / (582 + 383) = 39.69%.</x:v>
      </x:c>
      <x:c r="G21" s="6"/>
      <x:c r="H21" s="6"/>
      <x:c r="I21" s="6"/>
      <x:c r="J21" s="6"/>
      <x:c r="K21" s="6"/>
      <x:c r="L21" s="6"/>
      <x:c r="M21" s="6"/>
    </x:row>
    <x:row r="22">
      <x:c r="A22" s="7"/>
      <x:c r="B22" s="7"/>
      <x:c r="C22" s="24" t="str">
        <x:v>Partech equity / equity-plus-debt subtotal</x:v>
      </x:c>
      <x:c r="D22" s="45" t="n">
        <x:f>F7/J7</x:f>
        <x:v>0.5197685631629702</x:v>
      </x:c>
      <x:c r="E22" s="21" t="str">
        <x:v>%</x:v>
      </x:c>
      <x:c r="F22" s="24" t="str">
        <x:v>539 / (498 + 539) = 51.98%.</x:v>
      </x:c>
      <x:c r="G22" s="6"/>
      <x:c r="H22" s="6"/>
      <x:c r="I22" s="6"/>
      <x:c r="J22" s="6"/>
      <x:c r="K22" s="6"/>
      <x:c r="L22" s="6"/>
      <x:c r="M22" s="6"/>
    </x:row>
    <x:row r="23">
      <x:c r="A23" s="7"/>
      <x:c r="B23" s="7"/>
      <x:c r="C23" s="24" t="str">
        <x:v>Equity amount spread: Partech less ATBD</x:v>
      </x:c>
      <x:c r="D23" s="46" t="n">
        <x:f>F7-F6</x:f>
        <x:v>156</x:v>
      </x:c>
      <x:c r="E23" s="21" t="str">
        <x:v>USD m</x:v>
      </x:c>
      <x:c r="F23" s="24" t="str">
        <x:v>539 - 383 = 156; not proof of a single misclassified deal.</x:v>
      </x:c>
      <x:c r="G23" s="6"/>
      <x:c r="H23" s="6"/>
      <x:c r="I23" s="6"/>
      <x:c r="J23" s="6"/>
      <x:c r="K23" s="6"/>
      <x:c r="L23" s="6"/>
      <x:c r="M23" s="6"/>
    </x:row>
    <x:row r="24">
      <x:c r="A24" s="7"/>
      <x:c r="B24" s="7"/>
      <x:c r="C24" s="24" t="str">
        <x:v>Debt amount spread: Partech less ATBD</x:v>
      </x:c>
      <x:c r="D24" s="46" t="n">
        <x:f>H7-H6</x:f>
        <x:v>-84</x:v>
      </x:c>
      <x:c r="E24" s="21" t="str">
        <x:v>USD m</x:v>
      </x:c>
      <x:c r="F24" s="24" t="str">
        <x:v>498 - 582 = -84; not proof of a single omitted deal.</x:v>
      </x:c>
      <x:c r="G24" s="6"/>
      <x:c r="H24" s="6"/>
      <x:c r="I24" s="6"/>
      <x:c r="J24" s="6"/>
      <x:c r="K24" s="6"/>
      <x:c r="L24" s="6"/>
      <x:c r="M24" s="6"/>
    </x:row>
    <x:row r="25">
      <x:c r="A25" s="7"/>
      <x:c r="B25" s="7"/>
      <x:c r="C25" s="24" t="str">
        <x:v>ATBD total less debt/equity subtotal</x:v>
      </x:c>
      <x:c r="D25" s="46" t="n">
        <x:f>K6</x:f>
        <x:v>19</x:v>
      </x:c>
      <x:c r="E25" s="21" t="str">
        <x:v>USD m</x:v>
      </x:c>
      <x:c r="F25" s="24" t="str">
        <x:v>984 - 965 = 19; unassigned, not presumed to be grants.</x:v>
      </x:c>
      <x:c r="G25" s="6"/>
      <x:c r="H25" s="6"/>
      <x:c r="I25" s="6"/>
      <x:c r="J25" s="6"/>
      <x:c r="K25" s="6"/>
      <x:c r="L25" s="6"/>
      <x:c r="M25" s="6"/>
    </x:row>
    <x:row r="26">
      <x:c r="A26" s="7"/>
      <x:c r="B26" s="7"/>
      <x:c r="C26" s="25" t="str">
        <x:v>Partech approximate total less debt/equity subtotal</x:v>
      </x:c>
      <x:c r="D26" s="39" t="n">
        <x:f>K7</x:f>
        <x:v>3</x:v>
      </x:c>
      <x:c r="E26" s="22" t="str">
        <x:v>USD m</x:v>
      </x:c>
      <x:c r="F26" s="25" t="str">
        <x:v>1,040 - 1,037 = 3; rounded total/category residual.</x:v>
      </x:c>
      <x:c r="G26" s="6"/>
      <x:c r="H26" s="6"/>
      <x:c r="I26" s="6"/>
      <x:c r="J26" s="6"/>
      <x:c r="K26" s="6"/>
      <x:c r="L26" s="6"/>
      <x:c r="M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</x:row>
    <x:row r="28">
      <x:c r="A28" s="7"/>
      <x:c r="B28" s="7"/>
      <x:c r="C28" s="14" t="str">
        <x:v>The exact US$984m appears in contemporary reporting that attributes it to ATBD; ATBD's public 2025 post itself says almost US$1bn. Partech's US$1.04bn is rounded. Their totals, instrument mixes and count units use different coverage rules; publish them side by side and retain the provider labels.</x:v>
      </x:c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</x:row>
    <x:row r="29">
      <x:c r="A29" s="7"/>
      <x:c r="B29" s="7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</x:row>
    <x:row r="30">
      <x:c r="A30" s="7"/>
      <x:c r="B30" s="7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</x:row>
  </x:sheetData>
  <x:mergeCells>
    <x:mergeCell ref="C28:M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4" hidden="0" customWidth="1"/>
    <x:col min="4" max="4" width="20" hidden="0" customWidth="1"/>
    <x:col min="5" max="5" width="22" hidden="0" customWidth="1"/>
    <x:col min="6" max="6" width="76" hidden="0" customWidth="1"/>
  </x:cols>
  <x:sheetData>
    <x:row r="1" ht="25" customHeight="1">
      <x:c r="A1" s="7"/>
      <x:c r="B1" s="7"/>
      <x:c r="C1" s="4" t="str">
        <x:v>Period, publication date, data vintage and event timing</x:v>
      </x:c>
      <x:c r="D1" s="4"/>
      <x:c r="E1" s="4"/>
      <x:c r="F1" s="4"/>
    </x:row>
    <x:row r="2">
      <x:c r="A2" s="7"/>
      <x:c r="B2" s="7"/>
      <x:c r="C2" s="5" t="str">
        <x:v>An annual amount is one coordinate in a record. The public summaries do not disclose an exact data cutoff, record vintage or date rule for assigning an individual deal to 2025.</x:v>
      </x:c>
      <x:c r="D2" s="5"/>
      <x:c r="E2" s="5"/>
      <x:c r="F2" s="5"/>
    </x:row>
    <x:row r="3">
      <x:c r="A3" s="7"/>
      <x:c r="B3" s="7"/>
      <x:c r="C3" s="6"/>
      <x:c r="D3" s="6"/>
      <x:c r="E3" s="6"/>
      <x:c r="F3" s="6"/>
    </x:row>
    <x:row r="4">
      <x:c r="A4" s="7"/>
      <x:c r="B4" s="7"/>
      <x:c r="C4" s="6"/>
      <x:c r="D4" s="6"/>
      <x:c r="E4" s="6"/>
      <x:c r="F4" s="6"/>
    </x:row>
    <x:row r="5" ht="30" customHeight="1">
      <x:c r="A5" s="7"/>
      <x:c r="B5" s="7"/>
      <x:c r="C5" s="18" t="str">
        <x:v>Reporting dimension</x:v>
      </x:c>
      <x:c r="D5" s="18" t="str">
        <x:v>Africa: The Big Deal</x:v>
      </x:c>
      <x:c r="E5" s="18" t="str">
        <x:v>Partech Africa Tech VC</x:v>
      </x:c>
      <x:c r="F5" s="18" t="str">
        <x:v>Comparison / missing field</x:v>
      </x:c>
    </x:row>
    <x:row r="6">
      <x:c r="A6" s="7"/>
      <x:c r="B6" s="7"/>
      <x:c r="C6" s="23" t="str">
        <x:v>Reference / financial period</x:v>
      </x:c>
      <x:c r="D6" s="23" t="str">
        <x:v>Calendar 2025 annual result</x:v>
      </x:c>
      <x:c r="E6" s="23" t="str">
        <x:v>Calendar 2025 annual result</x:v>
      </x:c>
      <x:c r="F6" s="23" t="str">
        <x:v>Both describe 2025 activity; the source summaries do not specify whether announcement, close, drawdown or disclosure date assigns each deal to the year.</x:v>
      </x:c>
    </x:row>
    <x:row r="7">
      <x:c r="A7" s="7"/>
      <x:c r="B7" s="7"/>
      <x:c r="C7" s="24" t="str">
        <x:v>Primary report publication date</x:v>
      </x:c>
      <x:c r="D7" s="47" t="n">
        <x:v>46035</x:v>
      </x:c>
      <x:c r="E7" s="47" t="n">
        <x:v>46044</x:v>
      </x:c>
      <x:c r="F7" s="24" t="str">
        <x:v>The annual provider reports were issued nine calendar days apart. A release date is not the underlying data cutoff.</x:v>
      </x:c>
    </x:row>
    <x:row r="8">
      <x:c r="A8" s="7"/>
      <x:c r="B8" s="7"/>
      <x:c r="C8" s="24" t="str">
        <x:v>Earliest inspected exact-total publication</x:v>
      </x:c>
      <x:c r="D8" s="47" t="n">
        <x:v>46037</x:v>
      </x:c>
      <x:c r="E8" s="47" t="n">
        <x:v>46044</x:v>
      </x:c>
      <x:c r="F8" s="24" t="str">
        <x:v>The Star reported ATBD's US$984m total on Jan 15; Partech's official release gives about US$1.04bn on Jan 22. 'Earliest inspected' does not claim first-ever publication.</x:v>
      </x:c>
    </x:row>
    <x:row r="9">
      <x:c r="A9" s="7"/>
      <x:c r="B9" s="7"/>
      <x:c r="C9" s="24" t="str">
        <x:v>Latest underlying transaction / announcement included</x:v>
      </x:c>
      <x:c r="D9" s="24" t="str">
        <x:v>Not stated in inspected public 2025 summary</x:v>
      </x:c>
      <x:c r="E9" s="24" t="str">
        <x:v>Not stated in inspected public report</x:v>
      </x:c>
      <x:c r="F9" s="24" t="str">
        <x:v>Cannot establish a like-for-like cutoff or count post-year-end announcements without dated deal records.</x:v>
      </x:c>
    </x:row>
    <x:row r="10">
      <x:c r="A10" s="7"/>
      <x:c r="B10" s="7"/>
      <x:c r="C10" s="24" t="str">
        <x:v>Provider data snapshot / revision timestamp</x:v>
      </x:c>
      <x:c r="D10" s="24" t="str">
        <x:v>No dated export/version attached to public post; ATBD sells access to a monthly-updated database, but the January 2026 report vintage and history were not obtained</x:v>
      </x:c>
      <x:c r="E10" s="24" t="str">
        <x:v>No dated export/version stated in the report summary</x:v>
      </x:c>
      <x:c r="F10" s="24" t="str">
        <x:v>A current database file cannot be presumed to reproduce the report vintage; request dated snapshots and revision history.</x:v>
      </x:c>
    </x:row>
    <x:row r="11">
      <x:c r="A11" s="7"/>
      <x:c r="B11" s="7"/>
      <x:c r="C11" s="24" t="str">
        <x:v>Date rule assigning deal to 2025</x:v>
      </x:c>
      <x:c r="D11" s="24" t="str">
        <x:v>Not stated in the inspected public summary</x:v>
      </x:c>
      <x:c r="E11" s="24" t="str">
        <x:v>Not stated in the inspected public report</x:v>
      </x:c>
      <x:c r="F11" s="24" t="str">
        <x:v>Company announcement, financing close, lender commitment, facility draw and database first-seen dates are distinct fields.</x:v>
      </x:c>
    </x:row>
    <x:row r="12">
      <x:c r="A12" s="7"/>
      <x:c r="B12" s="7"/>
      <x:c r="C12" s="24" t="str">
        <x:v>Disclosure and update process</x:v>
      </x:c>
      <x:c r="D12" s="24" t="str">
        <x:v>ATBD later states that deal reporting can be delayed and uses public sources plus confidential investor disclosures</x:v>
      </x:c>
      <x:c r="E12" s="24" t="str">
        <x:v>Partech says report data includes fully disclosed, partially disclosed and confidential rounds</x:v>
      </x:c>
      <x:c r="F12" s="24" t="str">
        <x:v>Reporting lag is plausible; neither statement quantifies the effect on these Kenya totals.</x:v>
      </x:c>
    </x:row>
    <x:row r="13">
      <x:c r="A13" s="7"/>
      <x:c r="B13" s="7"/>
      <x:c r="C13" s="24" t="str">
        <x:v>Total and amount precision</x:v>
      </x:c>
      <x:c r="D13" s="24" t="str">
        <x:v>US$984m in contemporary coverage; ATBD's own post says almost US$1bn</x:v>
      </x:c>
      <x:c r="E13" s="24" t="str">
        <x:v>About US$1.04bn; categories total US$1.037bn</x:v>
      </x:c>
      <x:c r="F13" s="24" t="str">
        <x:v>Exactness differs: ATBD exact total is secondary-reported; Partech headline is rounded.</x:v>
      </x:c>
    </x:row>
    <x:row r="14">
      <x:c r="A14" s="7"/>
      <x:c r="B14" s="7"/>
      <x:c r="C14" s="24" t="str">
        <x:v>Instrument universe</x:v>
      </x:c>
      <x:c r="D14" s="24" t="str">
        <x:v>Equity, debt and grants in ATBD reporting; debt US$582m and equity US$383m published for Kenya</x:v>
      </x:c>
      <x:c r="E14" s="24" t="str">
        <x:v>VC equity and debt; equity US$539m and debt US$498m published for Kenya</x:v>
      </x:c>
      <x:c r="F14" s="24" t="str">
        <x:v>The instrument categories differ in scope and their published amounts do not match across providers.</x:v>
      </x:c>
    </x:row>
    <x:row r="15">
      <x:c r="A15" s="7"/>
      <x:c r="B15" s="7"/>
      <x:c r="C15" s="24" t="str">
        <x:v>Threshold and eligible ventures</x:v>
      </x:c>
      <x:c r="D15" s="24" t="str">
        <x:v>At least US$100k; 75 Kenyan ventures</x:v>
      </x:c>
      <x:c r="E15" s="24" t="str">
        <x:v>At least US$200k; 91 Kenya deals</x:v>
      </x:c>
      <x:c r="F15" s="24" t="str">
        <x:v>A venture count is not a transaction count; threshold and technology scope differ.</x:v>
      </x:c>
    </x:row>
    <x:row r="16">
      <x:c r="A16" s="7"/>
      <x:c r="B16" s="7"/>
      <x:c r="C16" s="24" t="str">
        <x:v>Country / entity allocation</x:v>
      </x:c>
      <x:c r="D16" s="24" t="str">
        <x:v>Country-tagged tracker series; detailed 2025 company allocation rule not in public summary</x:v>
      </x:c>
      <x:c r="E16" s="24" t="str">
        <x:v>African tech startups whose primary market is Africa by operations and/or revenue</x:v>
      </x:c>
      <x:c r="F16" s="24" t="str">
        <x:v>The company HQ, legal recipient, operating market and deployed use of proceeds may differ.</x:v>
      </x:c>
    </x:row>
    <x:row r="17">
      <x:c r="A17" s="7"/>
      <x:c r="B17" s="7"/>
      <x:c r="C17" s="24" t="str">
        <x:v>Source identifiers</x:v>
      </x:c>
      <x:c r="D17" s="24" t="str">
        <x:v>ATBD-25; ATBD-24; ATBD-EXACT; ATBD-VINTAGE; ATBD-DATABASE</x:v>
      </x:c>
      <x:c r="E17" s="24" t="str">
        <x:v>PARTECH-25</x:v>
      </x:c>
      <x:c r="F17" s="24" t="str">
        <x:v>See Sources and Checks for publication links and the evidence role of each source.</x:v>
      </x:c>
    </x:row>
    <x:row r="18">
      <x:c r="A18" s="7"/>
      <x:c r="B18" s="7"/>
      <x:c r="C18" s="25" t="str">
        <x:v>Access to transaction-level records</x:v>
      </x:c>
      <x:c r="D18" s="25" t="str">
        <x:v>ATBD offers full underlying data by subscription; its product page describes a monthly updated Excel database with 30+ fields for $100k+ African startup deals.</x:v>
      </x:c>
      <x:c r="E18" s="25" t="str">
        <x:v>Partech publishes aggregate results and disclosure metadata; its report includes confidential observations that public press coverage cannot fully reproduce.</x:v>
      </x:c>
      <x:c r="F18" s="25" t="str">
        <x:v>Request the January 2026 ATBD snapshot, a current export and the change log. A live monthly file may not match the report vintage; no provider export was acquired.</x:v>
      </x:c>
    </x:row>
    <x:row r="19" ht="30" customHeight="1">
      <x:c r="A19" s="7"/>
      <x:c r="B19" s="7"/>
      <x:c r="C19" s="18" t="str">
        <x:v>Publication / evidence event</x:v>
      </x:c>
      <x:c r="D19" s="18" t="str">
        <x:v>Date</x:v>
      </x:c>
      <x:c r="E19" s="18" t="str">
        <x:v>Source ID</x:v>
      </x:c>
      <x:c r="F19" s="18" t="str">
        <x:v>What it establishes</x:v>
      </x:c>
    </x:row>
    <x:row r="20">
      <x:c r="A20" s="7"/>
      <x:c r="B20" s="7"/>
      <x:c r="C20" s="23" t="str">
        <x:v>ATBD 2025 year-end post</x:v>
      </x:c>
      <x:c r="D20" s="48" t="n">
        <x:v>46035</x:v>
      </x:c>
      <x:c r="E20" s="20" t="str">
        <x:v>ATBD-25</x:v>
      </x:c>
      <x:c r="F20" s="23" t="str">
        <x:v>Primary provider summary; says almost US$1bn.</x:v>
      </x:c>
    </x:row>
    <x:row r="21">
      <x:c r="A21" s="7"/>
      <x:c r="B21" s="7"/>
      <x:c r="C21" s="24" t="str">
        <x:v>Exact ATBD US$984m appears in inspected press coverage</x:v>
      </x:c>
      <x:c r="D21" s="49" t="n">
        <x:v>46037</x:v>
      </x:c>
      <x:c r="E21" s="21" t="str">
        <x:v>ATBD-EXACT</x:v>
      </x:c>
      <x:c r="F21" s="24" t="str">
        <x:v>The Star publication date; two days after the ATBD post.</x:v>
      </x:c>
    </x:row>
    <x:row r="22">
      <x:c r="A22" s="7"/>
      <x:c r="B22" s="7"/>
      <x:c r="C22" s="24" t="str">
        <x:v>Business Daily exact-total report</x:v>
      </x:c>
      <x:c r="D22" s="49" t="n">
        <x:v>46041</x:v>
      </x:c>
      <x:c r="E22" s="21" t="str">
        <x:v>ATBD-EXACT</x:v>
      </x:c>
      <x:c r="F22" s="24" t="str">
        <x:v>Reports US$984m and directly calculates +54.2% from US$638m.</x:v>
      </x:c>
    </x:row>
    <x:row r="23">
      <x:c r="A23" s="7"/>
      <x:c r="B23" s="7"/>
      <x:c r="C23" s="24" t="str">
        <x:v>The EastAfrican exact-total report</x:v>
      </x:c>
      <x:c r="D23" s="49" t="n">
        <x:v>46041</x:v>
      </x:c>
      <x:c r="E23" s="21" t="str">
        <x:v>ATBD-EXACT</x:v>
      </x:c>
      <x:c r="F23" s="24" t="str">
        <x:v>Reports US$984m and repeats ATBD's stated +52%.</x:v>
      </x:c>
    </x:row>
    <x:row r="24">
      <x:c r="A24" s="7"/>
      <x:c r="B24" s="7"/>
      <x:c r="C24" s="24" t="str">
        <x:v>Partech 2025 report release</x:v>
      </x:c>
      <x:c r="D24" s="49" t="n">
        <x:v>46044</x:v>
      </x:c>
      <x:c r="E24" s="21" t="str">
        <x:v>PARTECH-25</x:v>
      </x:c>
      <x:c r="F24" s="24" t="str">
        <x:v>Primary provider press release; about US$1.04bn for Kenya.</x:v>
      </x:c>
    </x:row>
    <x:row r="25">
      <x:c r="A25" s="7"/>
      <x:c r="B25" s="7"/>
      <x:c r="C25" s="24" t="str">
        <x:v>ATBD note on reporting delay</x:v>
      </x:c>
      <x:c r="D25" s="49" t="n">
        <x:v>46154</x:v>
      </x:c>
      <x:c r="E25" s="21" t="str">
        <x:v>ATBD-VINTAGE</x:v>
      </x:c>
      <x:c r="F25" s="24" t="str">
        <x:v>Later methodology context, not a 2025 dataset revision notice.</x:v>
      </x:c>
    </x:row>
    <x:row r="26">
      <x:c r="A26" s="7"/>
      <x:c r="B26" s="7"/>
      <x:c r="C26" s="25" t="str">
        <x:v>ATBD post links to full data subscription</x:v>
      </x:c>
      <x:c r="D26" s="50" t="n">
        <x:v>46035</x:v>
      </x:c>
      <x:c r="E26" s="22" t="str">
        <x:v>ATBD-DATABASE</x:v>
      </x:c>
      <x:c r="F26" s="25" t="str">
        <x:v>The post establishes an acquisition path for underlying records, not the contents or freeze date of a historical export.</x:v>
      </x:c>
    </x:row>
    <x:row r="27">
      <x:c r="A27" s="7"/>
      <x:c r="B27" s="7"/>
      <x:c r="C27" s="6"/>
      <x:c r="D27" s="6"/>
      <x:c r="E27" s="6"/>
      <x:c r="F27" s="6"/>
    </x:row>
    <x:row r="28" ht="30" customHeight="1">
      <x:c r="A28" s="7"/>
      <x:c r="B28" s="7"/>
      <x:c r="C28" s="18" t="str">
        <x:v>Timeline calculation</x:v>
      </x:c>
      <x:c r="D28" s="18" t="str">
        <x:v>Result</x:v>
      </x:c>
      <x:c r="E28" s="18" t="str">
        <x:v>Unit</x:v>
      </x:c>
      <x:c r="F28" s="18" t="str">
        <x:v>Calculation</x:v>
      </x:c>
    </x:row>
    <x:row r="29">
      <x:c r="A29" s="7"/>
      <x:c r="B29" s="7"/>
      <x:c r="C29" s="23" t="str">
        <x:v>ATBD to Partech primary report lag</x:v>
      </x:c>
      <x:c r="D29" s="54" t="n">
        <x:f>D24-D20</x:f>
        <x:v>9</x:v>
      </x:c>
      <x:c r="E29" s="20" t="str">
        <x:v>calendar days</x:v>
      </x:c>
      <x:c r="F29" s="23" t="str">
        <x:v>Jan 22 minus Jan 13.</x:v>
      </x:c>
    </x:row>
    <x:row r="30">
      <x:c r="A30" s="7"/>
      <x:c r="B30" s="7"/>
      <x:c r="C30" s="24" t="str">
        <x:v>ATBD post to earliest inspected exact-total press report</x:v>
      </x:c>
      <x:c r="D30" s="55" t="n">
        <x:f>D21-D20</x:f>
        <x:v>2</x:v>
      </x:c>
      <x:c r="E30" s="21" t="str">
        <x:v>calendar days</x:v>
      </x:c>
      <x:c r="F30" s="24" t="str">
        <x:v>Jan 15 minus Jan 13.</x:v>
      </x:c>
    </x:row>
    <x:row r="31">
      <x:c r="A31" s="7"/>
      <x:c r="B31" s="7"/>
      <x:c r="C31" s="25" t="str">
        <x:v>Earliest exact-total press report to Partech report</x:v>
      </x:c>
      <x:c r="D31" s="56" t="n">
        <x:f>D24-D21</x:f>
        <x:v>7</x:v>
      </x:c>
      <x:c r="E31" s="22" t="str">
        <x:v>calendar days</x:v>
      </x:c>
      <x:c r="F31" s="25" t="str">
        <x:v>Jan 22 minus Jan 15.</x:v>
      </x:c>
    </x:row>
    <x:row r="32">
      <x:c r="A32" s="7"/>
      <x:c r="B32" s="7"/>
      <x:c r="C32" s="6"/>
      <x:c r="D32" s="6"/>
      <x:c r="E32" s="6"/>
      <x:c r="F32" s="6"/>
    </x:row>
    <x:row r="33">
      <x:c r="A33" s="7"/>
      <x:c r="B33" s="7"/>
      <x:c r="C33" s="6"/>
      <x:c r="D33" s="6"/>
      <x:c r="E33" s="6"/>
      <x:c r="F33" s="6"/>
    </x:row>
    <x:row r="34">
      <x:c r="A34" s="7"/>
      <x:c r="B34" s="7"/>
      <x:c r="C34" s="6"/>
      <x:c r="D34" s="6"/>
      <x:c r="E34" s="6"/>
      <x:c r="F34" s="6"/>
    </x:row>
    <x:row r="35">
      <x:c r="A35" s="7"/>
      <x:c r="B35" s="7"/>
      <x:c r="C35" s="6"/>
      <x:c r="D35" s="6"/>
      <x:c r="E35" s="6"/>
      <x:c r="F35" s="6"/>
    </x:row>
    <x:row r="36">
      <x:c r="A36" s="7"/>
      <x:c r="B36" s="7"/>
      <x:c r="C36" s="6"/>
      <x:c r="D36" s="6"/>
      <x:c r="E36" s="6"/>
      <x:c r="F36" s="6"/>
    </x:row>
    <x:row r="37">
      <x:c r="A37" s="7"/>
      <x:c r="B37" s="7"/>
      <x:c r="C37" s="6"/>
      <x:c r="D37" s="6"/>
      <x:c r="E37" s="6"/>
      <x:c r="F37" s="6"/>
    </x:row>
    <x:row r="38">
      <x:c r="A38" s="7"/>
      <x:c r="B38" s="7"/>
      <x:c r="C38" s="6"/>
      <x:c r="D38" s="6"/>
      <x:c r="E38" s="6"/>
      <x:c r="F38" s="6"/>
    </x:row>
    <x:row r="39">
      <x:c r="A39" s="7"/>
      <x:c r="B39" s="7"/>
      <x:c r="C39" s="6"/>
      <x:c r="D39" s="6"/>
      <x:c r="E39" s="6"/>
      <x:c r="F39" s="6"/>
    </x:row>
    <x:row r="40">
      <x:c r="A40" s="7"/>
      <x:c r="B40" s="7"/>
      <x:c r="C40" s="6"/>
      <x:c r="D40" s="6"/>
      <x:c r="E40" s="6"/>
      <x:c r="F40" s="6"/>
    </x:row>
    <x:row r="41">
      <x:c r="A41" s="7"/>
      <x:c r="B41" s="7"/>
      <x:c r="C41" s="6"/>
      <x:c r="D41" s="6"/>
      <x:c r="E41" s="6"/>
      <x:c r="F41" s="6"/>
    </x:row>
    <x:row r="42">
      <x:c r="A42" s="7"/>
      <x:c r="B42" s="7"/>
      <x:c r="C42" s="6"/>
      <x:c r="D42" s="6"/>
      <x:c r="E42" s="6"/>
      <x:c r="F42" s="6"/>
    </x:row>
    <x:row r="43">
      <x:c r="A43" s="7"/>
      <x:c r="B43" s="7"/>
      <x:c r="C43" s="6"/>
      <x:c r="D43" s="6"/>
      <x:c r="E43" s="6"/>
      <x:c r="F43" s="6"/>
    </x:row>
    <x:row r="44">
      <x:c r="A44" s="7"/>
      <x:c r="B44" s="7"/>
      <x:c r="C44" s="6"/>
      <x:c r="D44" s="6"/>
      <x:c r="E44" s="6"/>
      <x:c r="F44" s="6"/>
    </x:row>
    <x:row r="45">
      <x:c r="A45" s="7"/>
      <x:c r="B45" s="7"/>
      <x:c r="C45" s="6"/>
      <x:c r="D45" s="6"/>
      <x:c r="E45" s="6"/>
      <x:c r="F45" s="6"/>
    </x:row>
    <x:row r="46">
      <x:c r="A46" s="7"/>
      <x:c r="B46" s="7"/>
      <x:c r="C46" s="6"/>
      <x:c r="D46" s="6"/>
      <x:c r="E46" s="6"/>
      <x:c r="F46" s="6"/>
    </x:row>
    <x:row r="47">
      <x:c r="A47" s="7"/>
      <x:c r="B47" s="7"/>
      <x:c r="C47" s="6"/>
      <x:c r="D47" s="6"/>
      <x:c r="E47" s="6"/>
      <x:c r="F47" s="6"/>
    </x:row>
    <x:row r="48">
      <x:c r="A48" s="7"/>
      <x:c r="B48" s="7"/>
      <x:c r="C48" s="6"/>
      <x:c r="D48" s="6"/>
      <x:c r="E48" s="6"/>
      <x:c r="F48" s="6"/>
    </x:row>
    <x:row r="49">
      <x:c r="A49" s="7"/>
      <x:c r="B49" s="7"/>
      <x:c r="C49" s="6"/>
      <x:c r="D49" s="6"/>
      <x:c r="E49" s="6"/>
      <x:c r="F49" s="6"/>
    </x:row>
    <x:row r="50">
      <x:c r="A50" s="7"/>
      <x:c r="B50" s="7"/>
      <x:c r="C50" s="6"/>
      <x:c r="D50" s="6"/>
      <x:c r="E50" s="6"/>
      <x:c r="F50" s="6"/>
    </x:row>
    <x:row r="51">
      <x:c r="A51" s="7"/>
      <x:c r="B51" s="7"/>
      <x:c r="C51" s="6"/>
      <x:c r="D51" s="6"/>
      <x:c r="E51" s="6"/>
      <x:c r="F51" s="6"/>
    </x:row>
    <x:row r="52">
      <x:c r="A52" s="7"/>
      <x:c r="B52" s="7"/>
      <x:c r="C52" s="6"/>
      <x:c r="D52" s="6"/>
      <x:c r="E52" s="6"/>
      <x:c r="F52" s="6"/>
    </x:row>
    <x:row r="53">
      <x:c r="A53" s="7"/>
      <x:c r="B53" s="7"/>
      <x:c r="C53" s="6"/>
      <x:c r="D53" s="6"/>
      <x:c r="E53" s="6"/>
      <x:c r="F53" s="6"/>
    </x:row>
    <x:row r="54">
      <x:c r="A54" s="7"/>
      <x:c r="B54" s="7"/>
      <x:c r="C54" s="6"/>
      <x:c r="D54" s="6"/>
      <x:c r="E54" s="6"/>
      <x:c r="F54" s="6"/>
    </x:row>
    <x:row r="55">
      <x:c r="A55" s="7"/>
      <x:c r="B55" s="7"/>
      <x:c r="C55" s="6"/>
      <x:c r="D55" s="6"/>
      <x:c r="E55" s="6"/>
      <x:c r="F55" s="6"/>
    </x:row>
    <x:row r="56">
      <x:c r="A56" s="7"/>
      <x:c r="B56" s="7"/>
      <x:c r="C56" s="6"/>
      <x:c r="D56" s="6"/>
      <x:c r="E56" s="6"/>
      <x:c r="F56" s="6"/>
    </x:row>
    <x:row r="57">
      <x:c r="A57" s="7"/>
      <x:c r="B57" s="7"/>
      <x:c r="C57" s="6"/>
      <x:c r="D57" s="6"/>
      <x:c r="E57" s="6"/>
      <x:c r="F57" s="6"/>
    </x:row>
    <x:row r="58">
      <x:c r="A58" s="7"/>
      <x:c r="B58" s="7"/>
      <x:c r="C58" s="6"/>
      <x:c r="D58" s="6"/>
      <x:c r="E58" s="6"/>
      <x:c r="F58" s="6"/>
    </x:row>
    <x:row r="59">
      <x:c r="A59" s="7"/>
      <x:c r="B59" s="7"/>
      <x:c r="C59" s="6"/>
      <x:c r="D59" s="6"/>
      <x:c r="E59" s="6"/>
      <x:c r="F59" s="6"/>
    </x:row>
    <x:row r="60">
      <x:c r="A60" s="7"/>
      <x:c r="B60" s="7"/>
      <x:c r="C60" s="6"/>
      <x:c r="D60" s="6"/>
      <x:c r="E60" s="6"/>
      <x:c r="F60" s="6"/>
    </x:row>
    <x:row r="61">
      <x:c r="A61" s="7"/>
      <x:c r="B61" s="7"/>
      <x:c r="C61" s="6"/>
      <x:c r="D61" s="6"/>
      <x:c r="E61" s="6"/>
      <x:c r="F61" s="6"/>
    </x:row>
    <x:row r="62">
      <x:c r="A62" s="7"/>
      <x:c r="B62" s="7"/>
      <x:c r="C62" s="6"/>
      <x:c r="D62" s="6"/>
      <x:c r="E62" s="6"/>
      <x:c r="F62" s="6"/>
    </x:row>
    <x:row r="63">
      <x:c r="A63" s="7"/>
      <x:c r="B63" s="7"/>
      <x:c r="C63" s="6"/>
      <x:c r="D63" s="6"/>
      <x:c r="E63" s="6"/>
      <x:c r="F63" s="6"/>
    </x:row>
    <x:row r="64">
      <x:c r="A64" s="7"/>
      <x:c r="B64" s="7"/>
      <x:c r="C64" s="6"/>
      <x:c r="D64" s="6"/>
      <x:c r="E64" s="6"/>
      <x:c r="F64" s="6"/>
    </x:row>
    <x:row r="65">
      <x:c r="A65" s="7"/>
      <x:c r="B65" s="7"/>
      <x:c r="C65" s="6"/>
      <x:c r="D65" s="6"/>
      <x:c r="E65" s="6"/>
      <x:c r="F65" s="6"/>
    </x:row>
    <x:row r="66">
      <x:c r="A66" s="7"/>
      <x:c r="B66" s="7"/>
      <x:c r="C66" s="6"/>
      <x:c r="D66" s="6"/>
      <x:c r="E66" s="6"/>
      <x:c r="F66" s="6"/>
    </x:row>
    <x:row r="67">
      <x:c r="A67" s="7"/>
      <x:c r="B67" s="7"/>
      <x:c r="C67" s="6"/>
      <x:c r="D67" s="6"/>
      <x:c r="E67" s="6"/>
      <x:c r="F67" s="6"/>
    </x:row>
    <x:row r="68">
      <x:c r="A68" s="7"/>
      <x:c r="B68" s="7"/>
      <x:c r="C68" s="6"/>
      <x:c r="D68" s="6"/>
      <x:c r="E68" s="6"/>
      <x:c r="F68" s="6"/>
    </x:row>
    <x:row r="69">
      <x:c r="A69" s="7"/>
      <x:c r="B69" s="7"/>
      <x:c r="C69" s="6"/>
      <x:c r="D69" s="6"/>
      <x:c r="E69" s="6"/>
      <x:c r="F69" s="6"/>
    </x:row>
    <x:row r="70">
      <x:c r="A70" s="7"/>
      <x:c r="B70" s="7"/>
      <x:c r="C70" s="6"/>
      <x:c r="D70" s="6"/>
      <x:c r="E70" s="6"/>
      <x:c r="F70" s="6"/>
    </x:row>
    <x:row r="71">
      <x:c r="A71" s="7"/>
      <x:c r="B71" s="7"/>
      <x:c r="C71" s="6"/>
      <x:c r="D71" s="6"/>
      <x:c r="E71" s="6"/>
      <x:c r="F71" s="6"/>
    </x:row>
    <x:row r="72">
      <x:c r="A72" s="7"/>
      <x:c r="B72" s="7"/>
      <x:c r="C72" s="6"/>
      <x:c r="D72" s="6"/>
      <x:c r="E72" s="6"/>
      <x:c r="F72" s="6"/>
    </x:row>
    <x:row r="73">
      <x:c r="A73" s="7"/>
      <x:c r="B73" s="7"/>
      <x:c r="C73" s="6"/>
      <x:c r="D73" s="6"/>
      <x:c r="E73" s="6"/>
      <x:c r="F73" s="6"/>
    </x:row>
    <x:row r="74">
      <x:c r="A74" s="7"/>
      <x:c r="B74" s="7"/>
      <x:c r="C74" s="6"/>
      <x:c r="D74" s="6"/>
      <x:c r="E74" s="6"/>
      <x:c r="F74" s="6"/>
    </x:row>
    <x:row r="75">
      <x:c r="A75" s="7"/>
      <x:c r="B75" s="7"/>
      <x:c r="C75" s="6"/>
      <x:c r="D75" s="6"/>
      <x:c r="E75" s="6"/>
      <x:c r="F75" s="6"/>
    </x:row>
    <x:row r="76">
      <x:c r="A76" s="7"/>
      <x:c r="B76" s="7"/>
      <x:c r="C76" s="6"/>
      <x:c r="D76" s="6"/>
      <x:c r="E76" s="6"/>
      <x:c r="F76" s="6"/>
    </x:row>
    <x:row r="77">
      <x:c r="A77" s="7"/>
      <x:c r="B77" s="7"/>
      <x:c r="C77" s="6"/>
      <x:c r="D77" s="6"/>
      <x:c r="E77" s="6"/>
      <x:c r="F77" s="6"/>
    </x:row>
    <x:row r="78">
      <x:c r="A78" s="7"/>
      <x:c r="B78" s="7"/>
      <x:c r="C78" s="6"/>
      <x:c r="D78" s="6"/>
      <x:c r="E78" s="6"/>
      <x:c r="F78" s="6"/>
    </x:row>
    <x:row r="79">
      <x:c r="A79" s="7"/>
      <x:c r="B79" s="7"/>
      <x:c r="C79" s="6"/>
      <x:c r="D79" s="6"/>
      <x:c r="E79" s="6"/>
      <x:c r="F79" s="6"/>
    </x:row>
    <x:row r="80">
      <x:c r="A80" s="7"/>
      <x:c r="B80" s="7"/>
      <x:c r="C80" s="6"/>
      <x:c r="D80" s="6"/>
      <x:c r="E80" s="6"/>
      <x:c r="F80" s="6"/>
    </x:row>
    <x:row r="81">
      <x:c r="A81" s="7"/>
      <x:c r="B81" s="7"/>
      <x:c r="C81" s="6"/>
      <x:c r="D81" s="6"/>
      <x:c r="E81" s="6"/>
      <x:c r="F81" s="6"/>
    </x:row>
    <x:row r="82">
      <x:c r="A82" s="7"/>
      <x:c r="B82" s="7"/>
      <x:c r="C82" s="6"/>
      <x:c r="D82" s="6"/>
      <x:c r="E82" s="6"/>
      <x:c r="F82" s="6"/>
    </x:row>
    <x:row r="83">
      <x:c r="A83" s="7"/>
      <x:c r="B83" s="7"/>
      <x:c r="C83" s="6"/>
      <x:c r="D83" s="6"/>
      <x:c r="E83" s="6"/>
      <x:c r="F83" s="6"/>
    </x:row>
    <x:row r="84">
      <x:c r="A84" s="7"/>
      <x:c r="B84" s="7"/>
      <x:c r="C84" s="6"/>
      <x:c r="D84" s="6"/>
      <x:c r="E84" s="6"/>
      <x:c r="F84" s="6"/>
    </x:row>
    <x:row r="85">
      <x:c r="A85" s="7"/>
      <x:c r="B85" s="7"/>
      <x:c r="C85" s="6"/>
      <x:c r="D85" s="6"/>
      <x:c r="E85" s="6"/>
      <x:c r="F85" s="6"/>
    </x:row>
    <x:row r="86">
      <x:c r="A86" s="7"/>
      <x:c r="B86" s="7"/>
      <x:c r="C86" s="6"/>
      <x:c r="D86" s="6"/>
      <x:c r="E86" s="6"/>
      <x:c r="F86" s="6"/>
    </x:row>
    <x:row r="87">
      <x:c r="A87" s="7"/>
      <x:c r="B87" s="7"/>
      <x:c r="C87" s="6"/>
      <x:c r="D87" s="6"/>
      <x:c r="E87" s="6"/>
      <x:c r="F87" s="6"/>
    </x:row>
    <x:row r="88">
      <x:c r="A88" s="7"/>
      <x:c r="B88" s="7"/>
      <x:c r="C88" s="6"/>
      <x:c r="D88" s="6"/>
      <x:c r="E88" s="6"/>
      <x:c r="F88" s="6"/>
    </x:row>
    <x:row r="89">
      <x:c r="A89" s="7"/>
      <x:c r="B89" s="7"/>
      <x:c r="C89" s="6"/>
      <x:c r="D89" s="6"/>
      <x:c r="E89" s="6"/>
      <x:c r="F89" s="6"/>
    </x:row>
    <x:row r="90">
      <x:c r="A90" s="7"/>
      <x:c r="B90" s="7"/>
      <x:c r="C90" s="6"/>
      <x:c r="D90" s="6"/>
      <x:c r="E90" s="6"/>
      <x:c r="F90" s="6"/>
    </x:row>
    <x:row r="91">
      <x:c r="A91" s="7"/>
      <x:c r="B91" s="7"/>
      <x:c r="C91" s="6"/>
      <x:c r="D91" s="6"/>
      <x:c r="E91" s="6"/>
      <x:c r="F91" s="6"/>
    </x:row>
    <x:row r="92">
      <x:c r="A92" s="7"/>
      <x:c r="B92" s="7"/>
      <x:c r="C92" s="6"/>
      <x:c r="D92" s="6"/>
      <x:c r="E92" s="6"/>
      <x:c r="F92" s="6"/>
    </x:row>
    <x:row r="93">
      <x:c r="A93" s="7"/>
      <x:c r="B93" s="7"/>
      <x:c r="C93" s="6"/>
      <x:c r="D93" s="6"/>
      <x:c r="E93" s="6"/>
      <x:c r="F93" s="6"/>
    </x:row>
    <x:row r="94">
      <x:c r="A94" s="7"/>
      <x:c r="B94" s="7"/>
      <x:c r="C94" s="6"/>
      <x:c r="D94" s="6"/>
      <x:c r="E94" s="6"/>
      <x:c r="F94" s="6"/>
    </x:row>
    <x:row r="95">
      <x:c r="A95" s="7"/>
      <x:c r="B95" s="7"/>
      <x:c r="C95" s="6"/>
      <x:c r="D95" s="6"/>
      <x:c r="E95" s="6"/>
      <x:c r="F95" s="6"/>
    </x:row>
    <x:row r="96">
      <x:c r="A96" s="7"/>
      <x:c r="B96" s="7"/>
      <x:c r="C96" s="6"/>
      <x:c r="D96" s="6"/>
      <x:c r="E96" s="6"/>
      <x:c r="F96" s="6"/>
    </x:row>
    <x:row r="97">
      <x:c r="A97" s="7"/>
      <x:c r="B97" s="7"/>
      <x:c r="C97" s="6"/>
      <x:c r="D97" s="6"/>
      <x:c r="E97" s="6"/>
      <x:c r="F97" s="6"/>
    </x:row>
    <x:row r="98">
      <x:c r="A98" s="7"/>
      <x:c r="B98" s="7"/>
      <x:c r="C98" s="6"/>
      <x:c r="D98" s="6"/>
      <x:c r="E98" s="6"/>
      <x:c r="F98" s="6"/>
    </x:row>
    <x:row r="99">
      <x:c r="A99" s="7"/>
      <x:c r="B99" s="7"/>
      <x:c r="C99" s="6"/>
      <x:c r="D99" s="6"/>
      <x:c r="E99" s="6"/>
      <x:c r="F99" s="6"/>
    </x:row>
    <x:row r="100">
      <x:c r="A100" s="7"/>
      <x:c r="B100" s="7"/>
      <x:c r="C100" s="6"/>
      <x:c r="D100" s="6"/>
      <x:c r="E100" s="6"/>
      <x:c r="F100" s="6"/>
    </x:row>
    <x:row r="101">
      <x:c r="A101" s="7"/>
      <x:c r="B101" s="7"/>
      <x:c r="C101" s="6"/>
      <x:c r="D101" s="6"/>
      <x:c r="E101" s="6"/>
      <x:c r="F101" s="6"/>
    </x:row>
    <x:row r="102">
      <x:c r="A102" s="7"/>
      <x:c r="B102" s="7"/>
      <x:c r="C102" s="6"/>
      <x:c r="D102" s="6"/>
      <x:c r="E102" s="6"/>
      <x:c r="F102" s="6"/>
    </x:row>
    <x:row r="103">
      <x:c r="A103" s="7"/>
      <x:c r="B103" s="7"/>
      <x:c r="C103" s="6"/>
      <x:c r="D103" s="6"/>
      <x:c r="E103" s="6"/>
      <x:c r="F103" s="6"/>
    </x:row>
    <x:row r="104">
      <x:c r="A104" s="7"/>
      <x:c r="B104" s="7"/>
      <x:c r="C104" s="6"/>
      <x:c r="D104" s="6"/>
      <x:c r="E104" s="6"/>
      <x:c r="F104" s="6"/>
    </x:row>
    <x:row r="105">
      <x:c r="A105" s="7"/>
      <x:c r="B105" s="7"/>
      <x:c r="C105" s="6"/>
      <x:c r="D105" s="6"/>
      <x:c r="E105" s="6"/>
      <x:c r="F105" s="6"/>
    </x:row>
    <x:row r="106">
      <x:c r="A106" s="7"/>
      <x:c r="B106" s="7"/>
      <x:c r="C106" s="6"/>
      <x:c r="D106" s="6"/>
      <x:c r="E106" s="6"/>
      <x:c r="F106" s="6"/>
    </x:row>
    <x:row r="107">
      <x:c r="A107" s="7"/>
      <x:c r="B107" s="7"/>
      <x:c r="C107" s="6"/>
      <x:c r="D107" s="6"/>
      <x:c r="E107" s="6"/>
      <x:c r="F107" s="6"/>
    </x:row>
    <x:row r="108">
      <x:c r="A108" s="7"/>
      <x:c r="B108" s="7"/>
      <x:c r="C108" s="6"/>
      <x:c r="D108" s="6"/>
      <x:c r="E108" s="6"/>
      <x:c r="F108" s="6"/>
    </x:row>
    <x:row r="109">
      <x:c r="A109" s="7"/>
      <x:c r="B109" s="7"/>
      <x:c r="C109" s="6"/>
      <x:c r="D109" s="6"/>
      <x:c r="E109" s="6"/>
      <x:c r="F109" s="6"/>
    </x:row>
    <x:row r="110">
      <x:c r="A110" s="7"/>
      <x:c r="B110" s="7"/>
      <x:c r="C110" s="6"/>
      <x:c r="D110" s="6"/>
      <x:c r="E110" s="6"/>
      <x:c r="F110" s="6"/>
    </x:row>
    <x:row r="111">
      <x:c r="A111" s="7"/>
      <x:c r="B111" s="7"/>
      <x:c r="C111" s="6"/>
      <x:c r="D111" s="6"/>
      <x:c r="E111" s="6"/>
      <x:c r="F111" s="6"/>
    </x:row>
    <x:row r="112">
      <x:c r="A112" s="7"/>
      <x:c r="B112" s="7"/>
      <x:c r="C112" s="6"/>
      <x:c r="D112" s="6"/>
      <x:c r="E112" s="6"/>
      <x:c r="F112" s="6"/>
    </x:row>
    <x:row r="113">
      <x:c r="A113" s="7"/>
      <x:c r="B113" s="7"/>
      <x:c r="C113" s="6"/>
      <x:c r="D113" s="6"/>
      <x:c r="E113" s="6"/>
      <x:c r="F113" s="6"/>
    </x:row>
    <x:row r="114">
      <x:c r="A114" s="7"/>
      <x:c r="B114" s="7"/>
      <x:c r="C114" s="6"/>
      <x:c r="D114" s="6"/>
      <x:c r="E114" s="6"/>
      <x:c r="F114" s="6"/>
    </x:row>
    <x:row r="115">
      <x:c r="A115" s="7"/>
      <x:c r="B115" s="7"/>
      <x:c r="C115" s="6"/>
      <x:c r="D115" s="6"/>
      <x:c r="E115" s="6"/>
      <x:c r="F115" s="6"/>
    </x:row>
    <x:row r="116">
      <x:c r="A116" s="7"/>
      <x:c r="B116" s="7"/>
      <x:c r="C116" s="6"/>
      <x:c r="D116" s="6"/>
      <x:c r="E116" s="6"/>
      <x:c r="F116" s="6"/>
    </x:row>
    <x:row r="117">
      <x:c r="A117" s="7"/>
      <x:c r="B117" s="7"/>
      <x:c r="C117" s="6"/>
      <x:c r="D117" s="6"/>
      <x:c r="E117" s="6"/>
      <x:c r="F117" s="6"/>
    </x:row>
    <x:row r="118">
      <x:c r="A118" s="7"/>
      <x:c r="B118" s="7"/>
      <x:c r="C118" s="6"/>
      <x:c r="D118" s="6"/>
      <x:c r="E118" s="6"/>
      <x:c r="F118" s="6"/>
    </x:row>
    <x:row r="119">
      <x:c r="A119" s="7"/>
      <x:c r="B119" s="7"/>
      <x:c r="C119" s="6"/>
      <x:c r="D119" s="6"/>
      <x:c r="E119" s="6"/>
      <x:c r="F119" s="6"/>
    </x:row>
    <x:row r="120">
      <x:c r="A120" s="7"/>
      <x:c r="B120" s="7"/>
      <x:c r="C120" s="6"/>
      <x:c r="D120" s="6"/>
      <x:c r="E120" s="6"/>
      <x:c r="F120" s="6"/>
    </x:row>
    <x:row r="121">
      <x:c r="A121" s="7"/>
      <x:c r="B121" s="7"/>
      <x:c r="C121" s="6"/>
      <x:c r="D121" s="6"/>
      <x:c r="E121" s="6"/>
      <x:c r="F121" s="6"/>
    </x:row>
    <x:row r="122">
      <x:c r="A122" s="7"/>
      <x:c r="B122" s="7"/>
      <x:c r="C122" s="6"/>
      <x:c r="D122" s="6"/>
      <x:c r="E122" s="6"/>
      <x:c r="F122" s="6"/>
    </x:row>
    <x:row r="123">
      <x:c r="A123" s="7"/>
      <x:c r="B123" s="7"/>
      <x:c r="C123" s="6"/>
      <x:c r="D123" s="6"/>
      <x:c r="E123" s="6"/>
      <x:c r="F123" s="6"/>
    </x:row>
    <x:row r="124">
      <x:c r="A124" s="7"/>
      <x:c r="B124" s="7"/>
      <x:c r="C124" s="6"/>
      <x:c r="D124" s="6"/>
      <x:c r="E124" s="6"/>
      <x:c r="F124" s="6"/>
    </x:row>
    <x:row r="125">
      <x:c r="A125" s="7"/>
      <x:c r="B125" s="7"/>
      <x:c r="C125" s="6"/>
      <x:c r="D125" s="6"/>
      <x:c r="E125" s="6"/>
      <x:c r="F125" s="6"/>
    </x:row>
    <x:row r="126">
      <x:c r="A126" s="7"/>
      <x:c r="B126" s="7"/>
      <x:c r="C126" s="6"/>
      <x:c r="D126" s="6"/>
      <x:c r="E126" s="6"/>
      <x:c r="F126" s="6"/>
    </x:row>
    <x:row r="127">
      <x:c r="A127" s="7"/>
      <x:c r="B127" s="7"/>
      <x:c r="C127" s="6"/>
      <x:c r="D127" s="6"/>
      <x:c r="E127" s="6"/>
      <x:c r="F127" s="6"/>
    </x:row>
    <x:row r="128">
      <x:c r="A128" s="7"/>
      <x:c r="B128" s="7"/>
      <x:c r="C128" s="6"/>
      <x:c r="D128" s="6"/>
      <x:c r="E128" s="6"/>
      <x:c r="F128" s="6"/>
    </x:row>
    <x:row r="129">
      <x:c r="A129" s="7"/>
      <x:c r="B129" s="7"/>
      <x:c r="C129" s="6"/>
      <x:c r="D129" s="6"/>
      <x:c r="E129" s="6"/>
      <x:c r="F129" s="6"/>
    </x:row>
    <x:row r="130">
      <x:c r="A130" s="7"/>
      <x:c r="B130" s="7"/>
      <x:c r="C130" s="6"/>
      <x:c r="D130" s="6"/>
      <x:c r="E130" s="6"/>
      <x:c r="F130" s="6"/>
    </x:row>
    <x:row r="131">
      <x:c r="A131" s="7"/>
      <x:c r="B131" s="7"/>
      <x:c r="C131" s="6"/>
      <x:c r="D131" s="6"/>
      <x:c r="E131" s="6"/>
      <x:c r="F131" s="6"/>
    </x:row>
    <x:row r="132">
      <x:c r="A132" s="7"/>
      <x:c r="B132" s="7"/>
      <x:c r="C132" s="6"/>
      <x:c r="D132" s="6"/>
      <x:c r="E132" s="6"/>
      <x:c r="F132" s="6"/>
    </x:row>
    <x:row r="133">
      <x:c r="A133" s="7"/>
      <x:c r="B133" s="7"/>
      <x:c r="C133" s="6"/>
      <x:c r="D133" s="6"/>
      <x:c r="E133" s="6"/>
      <x:c r="F133" s="6"/>
    </x:row>
    <x:row r="134">
      <x:c r="A134" s="7"/>
      <x:c r="B134" s="7"/>
      <x:c r="C134" s="6"/>
      <x:c r="D134" s="6"/>
      <x:c r="E134" s="6"/>
      <x:c r="F134" s="6"/>
    </x:row>
    <x:row r="135">
      <x:c r="A135" s="7"/>
      <x:c r="B135" s="7"/>
      <x:c r="C135" s="6"/>
      <x:c r="D135" s="6"/>
      <x:c r="E135" s="6"/>
      <x:c r="F135" s="6"/>
    </x:row>
    <x:row r="136">
      <x:c r="A136" s="7"/>
      <x:c r="B136" s="7"/>
      <x:c r="C136" s="6"/>
      <x:c r="D136" s="6"/>
      <x:c r="E136" s="6"/>
      <x:c r="F136" s="6"/>
    </x:row>
    <x:row r="137">
      <x:c r="A137" s="7"/>
      <x:c r="B137" s="7"/>
      <x:c r="C137" s="6"/>
      <x:c r="D137" s="6"/>
      <x:c r="E137" s="6"/>
      <x:c r="F137" s="6"/>
    </x:row>
    <x:row r="138">
      <x:c r="A138" s="7"/>
      <x:c r="B138" s="7"/>
      <x:c r="C138" s="6"/>
      <x:c r="D138" s="6"/>
      <x:c r="E138" s="6"/>
      <x:c r="F138" s="6"/>
    </x:row>
    <x:row r="139">
      <x:c r="A139" s="7"/>
      <x:c r="B139" s="7"/>
      <x:c r="C139" s="6"/>
      <x:c r="D139" s="6"/>
      <x:c r="E139" s="6"/>
      <x:c r="F139" s="6"/>
    </x:row>
    <x:row r="140">
      <x:c r="A140" s="7"/>
      <x:c r="B140" s="7"/>
      <x:c r="C140" s="6"/>
      <x:c r="D140" s="6"/>
      <x:c r="E140" s="6"/>
      <x:c r="F140" s="6"/>
    </x:row>
    <x:row r="141">
      <x:c r="A141" s="7"/>
      <x:c r="B141" s="7"/>
      <x:c r="C141" s="6"/>
      <x:c r="D141" s="6"/>
      <x:c r="E141" s="6"/>
      <x:c r="F141" s="6"/>
    </x:row>
    <x:row r="142">
      <x:c r="A142" s="7"/>
      <x:c r="B142" s="7"/>
      <x:c r="C142" s="6"/>
      <x:c r="D142" s="6"/>
      <x:c r="E142" s="6"/>
      <x:c r="F142" s="6"/>
    </x:row>
    <x:row r="143">
      <x:c r="A143" s="7"/>
      <x:c r="B143" s="7"/>
      <x:c r="C143" s="6"/>
      <x:c r="D143" s="6"/>
      <x:c r="E143" s="6"/>
      <x:c r="F143" s="6"/>
    </x:row>
    <x:row r="144">
      <x:c r="A144" s="7"/>
      <x:c r="B144" s="7"/>
      <x:c r="C144" s="6"/>
      <x:c r="D144" s="6"/>
      <x:c r="E144" s="6"/>
      <x:c r="F144" s="6"/>
    </x:row>
    <x:row r="145">
      <x:c r="A145" s="7"/>
      <x:c r="B145" s="7"/>
      <x:c r="C145" s="6"/>
      <x:c r="D145" s="6"/>
      <x:c r="E145" s="6"/>
      <x:c r="F145" s="6"/>
    </x:row>
    <x:row r="146">
      <x:c r="A146" s="7"/>
      <x:c r="B146" s="7"/>
      <x:c r="C146" s="6"/>
      <x:c r="D146" s="6"/>
      <x:c r="E146" s="6"/>
      <x:c r="F146" s="6"/>
    </x:row>
    <x:row r="147">
      <x:c r="A147" s="7"/>
      <x:c r="B147" s="7"/>
      <x:c r="C147" s="6"/>
      <x:c r="D147" s="6"/>
      <x:c r="E147" s="6"/>
      <x:c r="F147" s="6"/>
    </x:row>
    <x:row r="148">
      <x:c r="A148" s="7"/>
      <x:c r="B148" s="7"/>
      <x:c r="C148" s="6"/>
      <x:c r="D148" s="6"/>
      <x:c r="E148" s="6"/>
      <x:c r="F148" s="6"/>
    </x:row>
    <x:row r="149">
      <x:c r="A149" s="7"/>
      <x:c r="B149" s="7"/>
      <x:c r="C149" s="6"/>
      <x:c r="D149" s="6"/>
      <x:c r="E149" s="6"/>
      <x:c r="F149" s="6"/>
    </x:row>
    <x:row r="150">
      <x:c r="A150" s="7"/>
      <x:c r="B150" s="7"/>
      <x:c r="C150" s="6"/>
      <x:c r="D150" s="6"/>
      <x:c r="E150" s="6"/>
      <x:c r="F150" s="6"/>
    </x:row>
    <x:row r="151">
      <x:c r="A151" s="7"/>
      <x:c r="B151" s="7"/>
      <x:c r="C151" s="6"/>
      <x:c r="D151" s="6"/>
      <x:c r="E151" s="6"/>
      <x:c r="F151" s="6"/>
    </x:row>
    <x:row r="152">
      <x:c r="A152" s="7"/>
      <x:c r="B152" s="7"/>
      <x:c r="C152" s="6"/>
      <x:c r="D152" s="6"/>
      <x:c r="E152" s="6"/>
      <x:c r="F152" s="6"/>
    </x:row>
    <x:row r="153">
      <x:c r="A153" s="7"/>
      <x:c r="B153" s="7"/>
      <x:c r="C153" s="6"/>
      <x:c r="D153" s="6"/>
      <x:c r="E153" s="6"/>
      <x:c r="F153" s="6"/>
    </x:row>
    <x:row r="154">
      <x:c r="A154" s="7"/>
      <x:c r="B154" s="7"/>
      <x:c r="C154" s="6"/>
      <x:c r="D154" s="6"/>
      <x:c r="E154" s="6"/>
      <x:c r="F154" s="6"/>
    </x:row>
    <x:row r="155">
      <x:c r="A155" s="7"/>
      <x:c r="B155" s="7"/>
      <x:c r="C155" s="6"/>
      <x:c r="D155" s="6"/>
      <x:c r="E155" s="6"/>
      <x:c r="F155" s="6"/>
    </x:row>
    <x:row r="156">
      <x:c r="A156" s="7"/>
      <x:c r="B156" s="7"/>
      <x:c r="C156" s="6"/>
      <x:c r="D156" s="6"/>
      <x:c r="E156" s="6"/>
      <x:c r="F156" s="6"/>
    </x:row>
    <x:row r="157">
      <x:c r="A157" s="7"/>
      <x:c r="B157" s="7"/>
      <x:c r="C157" s="6"/>
      <x:c r="D157" s="6"/>
      <x:c r="E157" s="6"/>
      <x:c r="F157" s="6"/>
    </x:row>
    <x:row r="158">
      <x:c r="A158" s="7"/>
      <x:c r="B158" s="7"/>
      <x:c r="C158" s="6"/>
      <x:c r="D158" s="6"/>
      <x:c r="E158" s="6"/>
      <x:c r="F158" s="6"/>
    </x:row>
    <x:row r="159">
      <x:c r="A159" s="7"/>
      <x:c r="B159" s="7"/>
      <x:c r="C159" s="6"/>
      <x:c r="D159" s="6"/>
      <x:c r="E159" s="6"/>
      <x:c r="F159" s="6"/>
    </x:row>
    <x:row r="160">
      <x:c r="A160" s="7"/>
      <x:c r="B160" s="7"/>
      <x:c r="C160" s="6"/>
      <x:c r="D160" s="6"/>
      <x:c r="E160" s="6"/>
      <x:c r="F160" s="6"/>
    </x:row>
    <x:row r="161">
      <x:c r="A161" s="7"/>
      <x:c r="B161" s="7"/>
      <x:c r="C161" s="6"/>
      <x:c r="D161" s="6"/>
      <x:c r="E161" s="6"/>
      <x:c r="F161" s="6"/>
    </x:row>
    <x:row r="162">
      <x:c r="A162" s="7"/>
      <x:c r="B162" s="7"/>
      <x:c r="C162" s="6"/>
      <x:c r="D162" s="6"/>
      <x:c r="E162" s="6"/>
      <x:c r="F162" s="6"/>
    </x:row>
    <x:row r="163">
      <x:c r="A163" s="7"/>
      <x:c r="B163" s="7"/>
      <x:c r="C163" s="6"/>
      <x:c r="D163" s="6"/>
      <x:c r="E163" s="6"/>
      <x:c r="F163" s="6"/>
    </x:row>
    <x:row r="164">
      <x:c r="A164" s="7"/>
      <x:c r="B164" s="7"/>
      <x:c r="C164" s="6"/>
      <x:c r="D164" s="6"/>
      <x:c r="E164" s="6"/>
      <x:c r="F164" s="6"/>
    </x:row>
    <x:row r="165">
      <x:c r="A165" s="7"/>
      <x:c r="B165" s="7"/>
      <x:c r="C165" s="6"/>
      <x:c r="D165" s="6"/>
      <x:c r="E165" s="6"/>
      <x:c r="F165" s="6"/>
    </x:row>
    <x:row r="166">
      <x:c r="A166" s="7"/>
      <x:c r="B166" s="7"/>
      <x:c r="C166" s="6"/>
      <x:c r="D166" s="6"/>
      <x:c r="E166" s="6"/>
      <x:c r="F166" s="6"/>
    </x:row>
    <x:row r="167">
      <x:c r="A167" s="7"/>
      <x:c r="B167" s="7"/>
      <x:c r="C167" s="6"/>
      <x:c r="D167" s="6"/>
      <x:c r="E167" s="6"/>
      <x:c r="F167" s="6"/>
    </x:row>
    <x:row r="168">
      <x:c r="A168" s="7"/>
      <x:c r="B168" s="7"/>
      <x:c r="C168" s="6"/>
      <x:c r="D168" s="6"/>
      <x:c r="E168" s="6"/>
      <x:c r="F168" s="6"/>
    </x:row>
    <x:row r="169">
      <x:c r="A169" s="7"/>
      <x:c r="B169" s="7"/>
      <x:c r="C169" s="6"/>
      <x:c r="D169" s="6"/>
      <x:c r="E169" s="6"/>
      <x:c r="F169" s="6"/>
    </x:row>
    <x:row r="170">
      <x:c r="A170" s="7"/>
      <x:c r="B170" s="7"/>
      <x:c r="C170" s="6"/>
      <x:c r="D170" s="6"/>
      <x:c r="E170" s="6"/>
      <x:c r="F170" s="6"/>
    </x:row>
    <x:row r="171">
      <x:c r="A171" s="7"/>
      <x:c r="B171" s="7"/>
      <x:c r="C171" s="6"/>
      <x:c r="D171" s="6"/>
      <x:c r="E171" s="6"/>
      <x:c r="F171" s="6"/>
    </x:row>
    <x:row r="172">
      <x:c r="A172" s="7"/>
      <x:c r="B172" s="7"/>
      <x:c r="C172" s="6"/>
      <x:c r="D172" s="6"/>
      <x:c r="E172" s="6"/>
      <x:c r="F172" s="6"/>
    </x:row>
    <x:row r="173">
      <x:c r="A173" s="7"/>
      <x:c r="B173" s="7"/>
      <x:c r="C173" s="6"/>
      <x:c r="D173" s="6"/>
      <x:c r="E173" s="6"/>
      <x:c r="F173" s="6"/>
    </x:row>
    <x:row r="174">
      <x:c r="A174" s="7"/>
      <x:c r="B174" s="7"/>
      <x:c r="C174" s="6"/>
      <x:c r="D174" s="6"/>
      <x:c r="E174" s="6"/>
      <x:c r="F174" s="6"/>
    </x:row>
    <x:row r="175">
      <x:c r="A175" s="7"/>
      <x:c r="B175" s="7"/>
      <x:c r="C175" s="6"/>
      <x:c r="D175" s="6"/>
      <x:c r="E175" s="6"/>
      <x:c r="F175" s="6"/>
    </x:row>
    <x:row r="176">
      <x:c r="A176" s="7"/>
      <x:c r="B176" s="7"/>
      <x:c r="C176" s="6"/>
      <x:c r="D176" s="6"/>
      <x:c r="E176" s="6"/>
      <x:c r="F176" s="6"/>
    </x:row>
    <x:row r="177">
      <x:c r="A177" s="7"/>
      <x:c r="B177" s="7"/>
      <x:c r="C177" s="6"/>
      <x:c r="D177" s="6"/>
      <x:c r="E177" s="6"/>
      <x:c r="F177" s="6"/>
    </x:row>
    <x:row r="178">
      <x:c r="A178" s="7"/>
      <x:c r="B178" s="7"/>
      <x:c r="C178" s="6"/>
      <x:c r="D178" s="6"/>
      <x:c r="E178" s="6"/>
      <x:c r="F178" s="6"/>
    </x:row>
    <x:row r="179">
      <x:c r="A179" s="7"/>
      <x:c r="B179" s="7"/>
      <x:c r="C179" s="6"/>
      <x:c r="D179" s="6"/>
      <x:c r="E179" s="6"/>
      <x:c r="F179" s="6"/>
    </x:row>
    <x:row r="180">
      <x:c r="A180" s="7"/>
      <x:c r="B180" s="7"/>
      <x:c r="C180" s="6"/>
      <x:c r="D180" s="6"/>
      <x:c r="E180" s="6"/>
      <x:c r="F180" s="6"/>
    </x:row>
    <x:row r="181">
      <x:c r="A181" s="7"/>
      <x:c r="B181" s="7"/>
      <x:c r="C181" s="6"/>
      <x:c r="D181" s="6"/>
      <x:c r="E181" s="6"/>
      <x:c r="F181" s="6"/>
    </x:row>
    <x:row r="182">
      <x:c r="A182" s="7"/>
      <x:c r="B182" s="7"/>
      <x:c r="C182" s="6"/>
      <x:c r="D182" s="6"/>
      <x:c r="E182" s="6"/>
      <x:c r="F182" s="6"/>
    </x:row>
    <x:row r="183">
      <x:c r="A183" s="7"/>
      <x:c r="B183" s="7"/>
      <x:c r="C183" s="6"/>
      <x:c r="D183" s="6"/>
      <x:c r="E183" s="6"/>
      <x:c r="F183" s="6"/>
    </x:row>
    <x:row r="184">
      <x:c r="A184" s="7"/>
      <x:c r="B184" s="7"/>
      <x:c r="C184" s="6"/>
      <x:c r="D184" s="6"/>
      <x:c r="E184" s="6"/>
      <x:c r="F184" s="6"/>
    </x:row>
    <x:row r="185">
      <x:c r="A185" s="7"/>
      <x:c r="B185" s="7"/>
      <x:c r="C185" s="6"/>
      <x:c r="D185" s="6"/>
      <x:c r="E185" s="6"/>
      <x:c r="F185" s="6"/>
    </x:row>
    <x:row r="186">
      <x:c r="A186" s="7"/>
      <x:c r="B186" s="7"/>
      <x:c r="C186" s="6"/>
      <x:c r="D186" s="6"/>
      <x:c r="E186" s="6"/>
      <x:c r="F186" s="6"/>
    </x:row>
    <x:row r="187">
      <x:c r="A187" s="7"/>
      <x:c r="B187" s="7"/>
      <x:c r="C187" s="6"/>
      <x:c r="D187" s="6"/>
      <x:c r="E187" s="6"/>
      <x:c r="F187" s="6"/>
    </x:row>
    <x:row r="188">
      <x:c r="A188" s="7"/>
      <x:c r="B188" s="7"/>
      <x:c r="C188" s="6"/>
      <x:c r="D188" s="6"/>
      <x:c r="E188" s="6"/>
      <x:c r="F188" s="6"/>
    </x:row>
    <x:row r="189">
      <x:c r="A189" s="7"/>
      <x:c r="B189" s="7"/>
      <x:c r="C189" s="6"/>
      <x:c r="D189" s="6"/>
      <x:c r="E189" s="6"/>
      <x:c r="F189" s="6"/>
    </x:row>
    <x:row r="190">
      <x:c r="A190" s="7"/>
      <x:c r="B190" s="7"/>
      <x:c r="C190" s="6"/>
      <x:c r="D190" s="6"/>
      <x:c r="E190" s="6"/>
      <x:c r="F190" s="6"/>
    </x:row>
    <x:row r="191">
      <x:c r="A191" s="7"/>
      <x:c r="B191" s="7"/>
      <x:c r="C191" s="6"/>
      <x:c r="D191" s="6"/>
      <x:c r="E191" s="6"/>
      <x:c r="F191" s="6"/>
    </x:row>
    <x:row r="192">
      <x:c r="A192" s="7"/>
      <x:c r="B192" s="7"/>
      <x:c r="C192" s="6"/>
      <x:c r="D192" s="6"/>
      <x:c r="E192" s="6"/>
      <x:c r="F192" s="6"/>
    </x:row>
    <x:row r="193">
      <x:c r="A193" s="7"/>
      <x:c r="B193" s="7"/>
      <x:c r="C193" s="6"/>
      <x:c r="D193" s="6"/>
      <x:c r="E193" s="6"/>
      <x:c r="F193" s="6"/>
    </x:row>
    <x:row r="194">
      <x:c r="A194" s="7"/>
      <x:c r="B194" s="7"/>
      <x:c r="C194" s="6"/>
      <x:c r="D194" s="6"/>
      <x:c r="E194" s="6"/>
      <x:c r="F194" s="6"/>
    </x:row>
    <x:row r="195">
      <x:c r="A195" s="7"/>
      <x:c r="B195" s="7"/>
      <x:c r="C195" s="6"/>
      <x:c r="D195" s="6"/>
      <x:c r="E195" s="6"/>
      <x:c r="F195" s="6"/>
    </x:row>
    <x:row r="196">
      <x:c r="A196" s="7"/>
      <x:c r="B196" s="7"/>
      <x:c r="C196" s="6"/>
      <x:c r="D196" s="6"/>
      <x:c r="E196" s="6"/>
      <x:c r="F196" s="6"/>
    </x:row>
    <x:row r="197">
      <x:c r="A197" s="7"/>
      <x:c r="B197" s="7"/>
      <x:c r="C197" s="6"/>
      <x:c r="D197" s="6"/>
      <x:c r="E197" s="6"/>
      <x:c r="F197" s="6"/>
    </x:row>
    <x:row r="198">
      <x:c r="A198" s="7"/>
      <x:c r="B198" s="7"/>
      <x:c r="C198" s="6"/>
      <x:c r="D198" s="6"/>
      <x:c r="E198" s="6"/>
      <x:c r="F198" s="6"/>
    </x:row>
    <x:row r="199">
      <x:c r="A199" s="7"/>
      <x:c r="B199" s="7"/>
      <x:c r="C199" s="6"/>
      <x:c r="D199" s="6"/>
      <x:c r="E199" s="6"/>
      <x:c r="F199" s="6"/>
    </x:row>
    <x:row r="200">
      <x:c r="A200" s="7"/>
      <x:c r="B200" s="7"/>
      <x:c r="C200" s="6"/>
      <x:c r="D200" s="6"/>
      <x:c r="E200" s="6"/>
      <x:c r="F20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0" hidden="0" customWidth="1"/>
    <x:col min="5" max="5" width="16" hidden="0" customWidth="1"/>
    <x:col min="6" max="6" width="77" hidden="0" customWidth="1"/>
  </x:cols>
  <x:sheetData>
    <x:row r="1" ht="25" customHeight="1">
      <x:c r="A1" s="7"/>
      <x:c r="B1" s="7"/>
      <x:c r="C1" s="4" t="str">
        <x:v>2025 ATBD debt, equity and the unassigned gap</x:v>
      </x:c>
      <x:c r="D1" s="4"/>
      <x:c r="E1" s="4"/>
      <x:c r="F1" s="4"/>
      <x:c r="G1" s="4"/>
      <x:c r="H1" s="4"/>
    </x:row>
    <x:row r="2">
      <x:c r="A2" s="7"/>
      <x:c r="B2" s="7"/>
      <x:c r="C2" s="5" t="str">
        <x:v>The debt/equity shares below use their own category subtotal. The exact total is independently reported in contemporary coverage; the primary tracker summary rounds it to almost US$1bn.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6"/>
      <x:c r="D4" s="6"/>
      <x:c r="E4" s="6"/>
      <x:c r="F4" s="6"/>
      <x:c r="G4" s="6"/>
      <x:c r="H4" s="6"/>
    </x:row>
    <x:row r="5" ht="30" customHeight="1">
      <x:c r="A5" s="7"/>
      <x:c r="B5" s="7"/>
      <x:c r="C5" s="18" t="str">
        <x:v>Category</x:v>
      </x:c>
      <x:c r="D5" s="18" t="str">
        <x:v>Amount</x:v>
      </x:c>
      <x:c r="E5" s="18" t="str">
        <x:v>Unit</x:v>
      </x:c>
      <x:c r="F5" s="18" t="str">
        <x:v>Interpretation</x:v>
      </x:c>
      <x:c r="G5" s="6"/>
      <x:c r="H5" s="6"/>
    </x:row>
    <x:row r="6">
      <x:c r="A6" s="7"/>
      <x:c r="B6" s="7"/>
      <x:c r="C6" s="23" t="str">
        <x:v>Debt</x:v>
      </x:c>
      <x:c r="D6" s="59" t="n">
        <x:v>582</x:v>
      </x:c>
      <x:c r="E6" s="20" t="str">
        <x:v>USD m</x:v>
      </x:c>
      <x:c r="F6" s="23" t="str">
        <x:v>ATBD-reported</x:v>
      </x:c>
      <x:c r="G6" s="6"/>
      <x:c r="H6" s="6"/>
    </x:row>
    <x:row r="7">
      <x:c r="A7" s="7"/>
      <x:c r="B7" s="7"/>
      <x:c r="C7" s="24" t="str">
        <x:v>Equity</x:v>
      </x:c>
      <x:c r="D7" s="60" t="n">
        <x:v>383</x:v>
      </x:c>
      <x:c r="E7" s="21" t="str">
        <x:v>USD m</x:v>
      </x:c>
      <x:c r="F7" s="24" t="str">
        <x:v>ATBD-reported</x:v>
      </x:c>
      <x:c r="G7" s="6"/>
      <x:c r="H7" s="6"/>
    </x:row>
    <x:row r="8">
      <x:c r="A8" s="7"/>
      <x:c r="B8" s="7"/>
      <x:c r="C8" s="24" t="str">
        <x:v>Debt + equity subtotal</x:v>
      </x:c>
      <x:c r="D8" s="46" t="n">
        <x:f>D6+D7</x:f>
        <x:v>965</x:v>
      </x:c>
      <x:c r="E8" s="21" t="str">
        <x:v>USD m</x:v>
      </x:c>
      <x:c r="F8" s="24" t="str">
        <x:v>Calculated from ATBD category amounts</x:v>
      </x:c>
      <x:c r="G8" s="6"/>
      <x:c r="H8" s="6"/>
    </x:row>
    <x:row r="9">
      <x:c r="A9" s="7"/>
      <x:c r="B9" s="7"/>
      <x:c r="C9" s="24" t="str">
        <x:v>Reported total (exact in secondary coverage)</x:v>
      </x:c>
      <x:c r="D9" s="43" t="n">
        <x:v>984</x:v>
      </x:c>
      <x:c r="E9" s="21" t="str">
        <x:v>USD m</x:v>
      </x:c>
      <x:c r="F9" s="24" t="str">
        <x:v>ATBD primary post says almost US$1bn; exact total reported by Business Daily / The EastAfrican</x:v>
      </x:c>
      <x:c r="G9" s="6"/>
      <x:c r="H9" s="6"/>
    </x:row>
    <x:row r="10">
      <x:c r="A10" s="7"/>
      <x:c r="B10" s="7"/>
      <x:c r="C10" s="24" t="str">
        <x:v>Unassigned difference</x:v>
      </x:c>
      <x:c r="D10" s="46" t="n">
        <x:f>D9-D8</x:f>
        <x:v>19</x:v>
      </x:c>
      <x:c r="E10" s="21" t="str">
        <x:v>USD m</x:v>
      </x:c>
      <x:c r="F10" s="24" t="str">
        <x:v>Do not assign to grants without same-version category evidence</x:v>
      </x:c>
      <x:c r="G10" s="6"/>
      <x:c r="H10" s="6"/>
    </x:row>
    <x:row r="11">
      <x:c r="A11" s="7"/>
      <x:c r="B11" s="7"/>
      <x:c r="C11" s="24" t="str">
        <x:v>Debt share of category subtotal</x:v>
      </x:c>
      <x:c r="D11" s="45" t="n">
        <x:f>D6/D8</x:f>
        <x:v>0.6031088082901555</x:v>
      </x:c>
      <x:c r="E11" s="21" t="str">
        <x:v>%</x:v>
      </x:c>
      <x:c r="F11" s="24" t="str">
        <x:v>Debt / (debt + equity)</x:v>
      </x:c>
      <x:c r="G11" s="6"/>
      <x:c r="H11" s="6"/>
    </x:row>
    <x:row r="12">
      <x:c r="A12" s="7"/>
      <x:c r="B12" s="7"/>
      <x:c r="C12" s="25" t="str">
        <x:v>Equity share of category subtotal</x:v>
      </x:c>
      <x:c r="D12" s="29" t="n">
        <x:f>D7/D8</x:f>
        <x:v>0.39689119170984455</x:v>
      </x:c>
      <x:c r="E12" s="22" t="str">
        <x:v>%</x:v>
      </x:c>
      <x:c r="F12" s="25" t="str">
        <x:v>Equity / (debt + equity)</x:v>
      </x:c>
      <x:c r="G12" s="6"/>
      <x:c r="H12" s="6"/>
    </x:row>
    <x:row r="13">
      <x:c r="A13" s="7"/>
      <x:c r="B13" s="7"/>
      <x:c r="C13" s="6"/>
      <x:c r="D13" s="6"/>
      <x:c r="E13" s="6"/>
      <x:c r="F13" s="6"/>
      <x:c r="G13" s="6"/>
      <x:c r="H13" s="6"/>
    </x:row>
    <x:row r="14">
      <x:c r="A14" s="7"/>
      <x:c r="B14" s="7"/>
      <x:c r="C14" s="6"/>
      <x:c r="D14" s="6"/>
      <x:c r="E14" s="6"/>
      <x:c r="F14" s="6"/>
      <x:c r="G14" s="6"/>
      <x:c r="H14" s="6"/>
    </x:row>
    <x:row r="15">
      <x:c r="A15" s="7"/>
      <x:c r="B15" s="7"/>
      <x:c r="C15" s="6"/>
      <x:c r="D15" s="6"/>
      <x:c r="E15" s="6"/>
      <x:c r="F15" s="6"/>
      <x:c r="G15" s="6"/>
      <x:c r="H15" s="6"/>
    </x:row>
    <x:row r="16">
      <x:c r="A16" s="7"/>
      <x:c r="B16" s="7"/>
      <x:c r="C16" s="6"/>
      <x:c r="D16" s="6"/>
      <x:c r="E16" s="6"/>
      <x:c r="F16" s="6"/>
      <x:c r="G16" s="6"/>
      <x:c r="H16" s="6"/>
    </x:row>
    <x:row r="17">
      <x:c r="A17" s="7"/>
      <x:c r="B17" s="7"/>
      <x:c r="C17" s="6"/>
      <x:c r="D17" s="6"/>
      <x:c r="E17" s="6"/>
      <x:c r="F17" s="6"/>
      <x:c r="G17" s="6"/>
      <x:c r="H17" s="6"/>
    </x:row>
    <x:row r="18">
      <x:c r="A18" s="7"/>
      <x:c r="B18" s="7"/>
      <x:c r="C18" s="6"/>
      <x:c r="D18" s="6"/>
      <x:c r="E18" s="6"/>
      <x:c r="F18" s="6"/>
      <x:c r="G18" s="6"/>
      <x:c r="H18" s="6"/>
    </x:row>
    <x:row r="19">
      <x:c r="A19" s="7"/>
      <x:c r="B19" s="7"/>
      <x:c r="C19" s="6"/>
      <x:c r="D19" s="6"/>
      <x:c r="E19" s="6"/>
      <x:c r="F19" s="6"/>
      <x:c r="G19" s="6"/>
      <x:c r="H19" s="6"/>
    </x:row>
    <x:row r="20">
      <x:c r="A20" s="7"/>
      <x:c r="B20" s="7"/>
      <x:c r="C20" s="6"/>
      <x:c r="D20" s="6"/>
      <x:c r="E20" s="6"/>
      <x:c r="F20" s="6"/>
      <x:c r="G20" s="6"/>
      <x:c r="H20" s="6"/>
    </x:row>
    <x:row r="21">
      <x:c r="A21" s="7"/>
      <x:c r="B21" s="7"/>
      <x:c r="C21" s="6"/>
      <x:c r="D21" s="6"/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0" hidden="0" customWidth="1"/>
    <x:col min="4" max="4" width="22" hidden="0" customWidth="1"/>
    <x:col min="5" max="5" width="23" hidden="0" customWidth="1"/>
    <x:col min="6" max="6" width="78" hidden="0" customWidth="1"/>
  </x:cols>
  <x:sheetData>
    <x:row r="1" ht="25" customHeight="1">
      <x:c r="A1" s="7"/>
      <x:c r="B1" s="7"/>
      <x:c r="C1" s="4" t="str">
        <x:v>Thirteen claimed amounts: arithmetic, not verified capital</x:v>
      </x:c>
      <x:c r="D1" s="4"/>
      <x:c r="E1" s="4"/>
      <x:c r="F1" s="4"/>
      <x:c r="G1" s="4"/>
      <x:c r="H1" s="4"/>
    </x:row>
    <x:row r="2">
      <x:c r="A2" s="7"/>
      <x:c r="B2" s="7"/>
      <x:c r="C2" s="5" t="str">
        <x:v>KES billions as displayed or converted in the supplied screenshot. The list is a selected social post, not a deal database or loss estimate.</x:v>
      </x:c>
      <x:c r="D2" s="5"/>
      <x:c r="E2" s="5"/>
      <x:c r="F2" s="5"/>
      <x:c r="G2" s="5"/>
      <x:c r="H2" s="5"/>
    </x:row>
    <x:row r="3">
      <x:c r="A3" s="7"/>
      <x:c r="B3" s="7"/>
      <x:c r="C3" s="6"/>
      <x:c r="D3" s="6"/>
      <x:c r="E3" s="6"/>
      <x:c r="F3" s="6"/>
      <x:c r="G3" s="6"/>
      <x:c r="H3" s="6"/>
    </x:row>
    <x:row r="4">
      <x:c r="A4" s="7"/>
      <x:c r="B4" s="7"/>
      <x:c r="C4" s="6"/>
      <x:c r="D4" s="6"/>
      <x:c r="E4" s="6"/>
      <x:c r="F4" s="6"/>
      <x:c r="G4" s="6"/>
      <x:c r="H4" s="6"/>
    </x:row>
    <x:row r="5" ht="30" customHeight="1">
      <x:c r="A5" s="7"/>
      <x:c r="B5" s="7"/>
      <x:c r="C5" s="18" t="str">
        <x:v>Company / brand as shown</x:v>
      </x:c>
      <x:c r="D5" s="18" t="str">
        <x:v>Claimed amount (KES bn)</x:v>
      </x:c>
      <x:c r="E5" s="18" t="str">
        <x:v>Amount status</x:v>
      </x:c>
      <x:c r="F5" s="18" t="str">
        <x:v>Outcome note</x:v>
      </x:c>
      <x:c r="G5" s="6"/>
      <x:c r="H5" s="6"/>
    </x:row>
    <x:row r="6">
      <x:c r="A6" s="7"/>
      <x:c r="B6" s="7"/>
      <x:c r="C6" s="23" t="str">
        <x:v>Twiga Foods</x:v>
      </x:c>
      <x:c r="D6" s="20" t="n">
        <x:v>24.1</x:v>
      </x:c>
      <x:c r="E6" s="23" t="str">
        <x:v>Screenshot claim</x:v>
      </x:c>
      <x:c r="F6" s="23" t="str">
        <x:v>Two entities reported under administration; primary notices pending</x:v>
      </x:c>
      <x:c r="G6" s="6"/>
      <x:c r="H6" s="6"/>
    </x:row>
    <x:row r="7">
      <x:c r="A7" s="7"/>
      <x:c r="B7" s="7"/>
      <x:c r="C7" s="24" t="str">
        <x:v>Copia</x:v>
      </x:c>
      <x:c r="D7" s="21" t="n">
        <x:v>16</x:v>
      </x:c>
      <x:c r="E7" s="24" t="str">
        <x:v>Screenshot claim</x:v>
      </x:c>
      <x:c r="F7" s="24" t="str">
        <x:v>Copia Kenya administration Gazette notice captured; reconcile funded entity</x:v>
      </x:c>
      <x:c r="G7" s="6"/>
      <x:c r="H7" s="6"/>
    </x:row>
    <x:row r="8">
      <x:c r="A8" s="7"/>
      <x:c r="B8" s="7"/>
      <x:c r="C8" s="24" t="str">
        <x:v>Gro Intelligence</x:v>
      </x:c>
      <x:c r="D8" s="21" t="n">
        <x:v>15.3</x:v>
      </x:c>
      <x:c r="E8" s="24" t="str">
        <x:v>Screenshot claim</x:v>
      </x:c>
      <x:c r="F8" s="24" t="str">
        <x:v>Outcome / legal entity unresolved in current ledger</x:v>
      </x:c>
      <x:c r="G8" s="6"/>
      <x:c r="H8" s="6"/>
    </x:row>
    <x:row r="9">
      <x:c r="A9" s="7"/>
      <x:c r="B9" s="7"/>
      <x:c r="C9" s="24" t="str">
        <x:v>Koko Networks</x:v>
      </x:c>
      <x:c r="D9" s="21" t="n">
        <x:v>13</x:v>
      </x:c>
      <x:c r="E9" s="24" t="str">
        <x:v>Screenshot claim</x:v>
      </x:c>
      <x:c r="F9" s="24" t="str">
        <x:v>Outcome / legal entity unresolved in current ledger</x:v>
      </x:c>
      <x:c r="G9" s="6"/>
      <x:c r="H9" s="6"/>
    </x:row>
    <x:row r="10">
      <x:c r="A10" s="7"/>
      <x:c r="B10" s="7"/>
      <x:c r="C10" s="24" t="str">
        <x:v>Mobius Motors</x:v>
      </x:c>
      <x:c r="D10" s="21" t="n">
        <x:v>7.3</x:v>
      </x:c>
      <x:c r="E10" s="24" t="str">
        <x:v>Screenshot claim</x:v>
      </x:c>
      <x:c r="F10" s="24" t="str">
        <x:v>Outcome / legal entity unresolved in current ledger</x:v>
      </x:c>
      <x:c r="G10" s="6"/>
      <x:c r="H10" s="6"/>
    </x:row>
    <x:row r="11">
      <x:c r="A11" s="7"/>
      <x:c r="B11" s="7"/>
      <x:c r="C11" s="24" t="str">
        <x:v>MarketForce</x:v>
      </x:c>
      <x:c r="D11" s="21" t="n">
        <x:v>5.5</x:v>
      </x:c>
      <x:c r="E11" s="24" t="str">
        <x:v>Screenshot claim</x:v>
      </x:c>
      <x:c r="F11" s="24" t="str">
        <x:v>Outcome / legal entity unresolved in current ledger</x:v>
      </x:c>
      <x:c r="G11" s="6"/>
      <x:c r="H11" s="6"/>
    </x:row>
    <x:row r="12">
      <x:c r="A12" s="7"/>
      <x:c r="B12" s="7"/>
      <x:c r="C12" s="24" t="str">
        <x:v>Wefarm</x:v>
      </x:c>
      <x:c r="D12" s="21" t="n">
        <x:v>4.2</x:v>
      </x:c>
      <x:c r="E12" s="24" t="str">
        <x:v>Screenshot claim</x:v>
      </x:c>
      <x:c r="F12" s="24" t="str">
        <x:v>Outcome / legal entity unresolved in current ledger</x:v>
      </x:c>
      <x:c r="G12" s="6"/>
      <x:c r="H12" s="6"/>
    </x:row>
    <x:row r="13">
      <x:c r="A13" s="7"/>
      <x:c r="B13" s="7"/>
      <x:c r="C13" s="24" t="str">
        <x:v>Sendy</x:v>
      </x:c>
      <x:c r="D13" s="21" t="n">
        <x:v>3.2</x:v>
      </x:c>
      <x:c r="E13" s="24" t="str">
        <x:v>Screenshot claim</x:v>
      </x:c>
      <x:c r="F13" s="24" t="str">
        <x:v>Outcome / legal entity unresolved in current ledger</x:v>
      </x:c>
      <x:c r="G13" s="6"/>
      <x:c r="H13" s="6"/>
    </x:row>
    <x:row r="14">
      <x:c r="A14" s="7"/>
      <x:c r="B14" s="7"/>
      <x:c r="C14" s="24" t="str">
        <x:v>iProcure</x:v>
      </x:c>
      <x:c r="D14" s="21" t="n">
        <x:v>2.2</x:v>
      </x:c>
      <x:c r="E14" s="24" t="str">
        <x:v>Screenshot claim</x:v>
      </x:c>
      <x:c r="F14" s="24" t="str">
        <x:v>Outcome / legal entity unresolved in current ledger</x:v>
      </x:c>
      <x:c r="G14" s="6"/>
      <x:c r="H14" s="6"/>
    </x:row>
    <x:row r="15">
      <x:c r="A15" s="7"/>
      <x:c r="B15" s="7"/>
      <x:c r="C15" s="24" t="str">
        <x:v>Lipa Later</x:v>
      </x:c>
      <x:c r="D15" s="21" t="n">
        <x:v>2.2</x:v>
      </x:c>
      <x:c r="E15" s="24" t="str">
        <x:v>Screenshot claim</x:v>
      </x:c>
      <x:c r="F15" s="24" t="str">
        <x:v>Outcome / legal entity unresolved in current ledger</x:v>
      </x:c>
      <x:c r="G15" s="6"/>
      <x:c r="H15" s="6"/>
    </x:row>
    <x:row r="16">
      <x:c r="A16" s="7"/>
      <x:c r="B16" s="7"/>
      <x:c r="C16" s="24" t="str">
        <x:v>Kune Foods</x:v>
      </x:c>
      <x:c r="D16" s="21" t="n">
        <x:v>0.13</x:v>
      </x:c>
      <x:c r="E16" s="24" t="str">
        <x:v>Screenshot claim</x:v>
      </x:c>
      <x:c r="F16" s="24" t="str">
        <x:v>Outcome / legal entity unresolved in current ledger</x:v>
      </x:c>
      <x:c r="G16" s="6"/>
      <x:c r="H16" s="6"/>
    </x:row>
    <x:row r="17">
      <x:c r="A17" s="7"/>
      <x:c r="B17" s="7"/>
      <x:c r="C17" s="24" t="str">
        <x:v>Zumi</x:v>
      </x:c>
      <x:c r="D17" s="21" t="n">
        <x:v>0.13</x:v>
      </x:c>
      <x:c r="E17" s="24" t="str">
        <x:v>Screenshot claim</x:v>
      </x:c>
      <x:c r="F17" s="24" t="str">
        <x:v>Outcome / legal entity unresolved in current ledger</x:v>
      </x:c>
      <x:c r="G17" s="6"/>
      <x:c r="H17" s="6"/>
    </x:row>
    <x:row r="18">
      <x:c r="A18" s="7"/>
      <x:c r="B18" s="7"/>
      <x:c r="C18" s="25" t="str">
        <x:v>Notify Logistics</x:v>
      </x:c>
      <x:c r="D18" s="22" t="n">
        <x:v>0.05</x:v>
      </x:c>
      <x:c r="E18" s="25" t="str">
        <x:v>Screenshot claim</x:v>
      </x:c>
      <x:c r="F18" s="25" t="str">
        <x:v>Outcome / legal entity unresolved in current ledger</x:v>
      </x:c>
      <x:c r="G18" s="6"/>
      <x:c r="H18" s="6"/>
    </x:row>
    <x:row r="19">
      <x:c r="A19" s="7"/>
      <x:c r="B19" s="7"/>
      <x:c r="C19" s="67" t="str">
        <x:v>Displayed-list sum</x:v>
      </x:c>
      <x:c r="D19" s="68" t="n">
        <x:f>SUM(D6:D18)</x:f>
        <x:v>93.31</x:v>
      </x:c>
      <x:c r="E19" s="6"/>
      <x:c r="F19" s="6"/>
      <x:c r="G19" s="6"/>
      <x:c r="H19" s="6"/>
    </x:row>
    <x:row r="20">
      <x:c r="A20" s="7"/>
      <x:c r="B20" s="7"/>
      <x:c r="C20" s="67" t="str">
        <x:v>Top five amount</x:v>
      </x:c>
      <x:c r="D20" s="68" t="n">
        <x:f>SUM(D6:D10)</x:f>
        <x:v>75.7</x:v>
      </x:c>
      <x:c r="E20" s="6"/>
      <x:c r="F20" s="6"/>
      <x:c r="G20" s="6"/>
      <x:c r="H20" s="6"/>
    </x:row>
    <x:row r="21">
      <x:c r="A21" s="7"/>
      <x:c r="B21" s="7"/>
      <x:c r="C21" s="67" t="str">
        <x:v>Top five / displayed-list sum</x:v>
      </x:c>
      <x:c r="D21" s="69" t="n">
        <x:f>D20/D19</x:f>
        <x:v>0.8112742471332118</x:v>
      </x:c>
      <x:c r="E21" s="6"/>
      <x:c r="F21" s="6"/>
      <x:c r="G21" s="6"/>
      <x:c r="H21" s="6"/>
    </x:row>
    <x:row r="22">
      <x:c r="A22" s="7"/>
      <x:c r="B22" s="7"/>
      <x:c r="C22" s="6"/>
      <x:c r="D22" s="6"/>
      <x:c r="E22" s="6"/>
      <x:c r="F22" s="6"/>
      <x:c r="G22" s="6"/>
      <x:c r="H22" s="6"/>
    </x:row>
    <x:row r="23">
      <x:c r="A23" s="7"/>
      <x:c r="B23" s="7"/>
      <x:c r="C23" s="6"/>
      <x:c r="D23" s="6"/>
      <x:c r="E23" s="6"/>
      <x:c r="F23" s="6"/>
      <x:c r="G23" s="6"/>
      <x:c r="H23" s="6"/>
    </x:row>
    <x:row r="24">
      <x:c r="A24" s="7"/>
      <x:c r="B24" s="7"/>
      <x:c r="C24" s="6"/>
      <x:c r="D24" s="6"/>
      <x:c r="E24" s="6"/>
      <x:c r="F24" s="6"/>
      <x:c r="G24" s="6"/>
      <x:c r="H24" s="6"/>
    </x:row>
    <x:row r="25">
      <x:c r="A25" s="7"/>
      <x:c r="B25" s="7"/>
      <x:c r="C25" s="6"/>
      <x:c r="D25" s="6"/>
      <x:c r="E25" s="6"/>
      <x:c r="F25" s="6"/>
      <x:c r="G25" s="6"/>
      <x:c r="H25" s="6"/>
    </x:row>
    <x:row r="26">
      <x:c r="A26" s="7"/>
      <x:c r="B26" s="7"/>
      <x:c r="C26" s="6"/>
      <x:c r="D26" s="6"/>
      <x:c r="E26" s="6"/>
      <x:c r="F26" s="6"/>
      <x:c r="G26" s="6"/>
      <x:c r="H26" s="6"/>
    </x:row>
    <x:row r="27">
      <x:c r="A27" s="7"/>
      <x:c r="B27" s="7"/>
      <x:c r="C27" s="6"/>
      <x:c r="D27" s="6"/>
      <x:c r="E27" s="6"/>
      <x:c r="F27" s="6"/>
      <x:c r="G27" s="6"/>
      <x:c r="H27" s="6"/>
    </x:row>
    <x:row r="28">
      <x:c r="A28" s="7"/>
      <x:c r="B28" s="7"/>
      <x:c r="C28" s="6"/>
      <x:c r="D28" s="6"/>
      <x:c r="E28" s="6"/>
      <x:c r="F28" s="6"/>
      <x:c r="G28" s="6"/>
      <x:c r="H28" s="6"/>
    </x:row>
    <x:row r="29">
      <x:c r="A29" s="7"/>
      <x:c r="B29" s="7"/>
      <x:c r="C29" s="6"/>
      <x:c r="D29" s="6"/>
      <x:c r="E29" s="6"/>
      <x:c r="F29" s="6"/>
      <x:c r="G29" s="6"/>
      <x:c r="H29" s="6"/>
    </x:row>
    <x:row r="30">
      <x:c r="A30" s="7"/>
      <x:c r="B30" s="7"/>
      <x:c r="C30" s="6"/>
      <x:c r="D30" s="6"/>
      <x:c r="E30" s="6"/>
      <x:c r="F30" s="6"/>
      <x:c r="G30" s="6"/>
      <x:c r="H30" s="6"/>
    </x:row>
    <x:row r="31">
      <x:c r="A31" s="7"/>
      <x:c r="B31" s="7"/>
      <x:c r="C31" s="6"/>
      <x:c r="D31" s="6"/>
      <x:c r="E31" s="6"/>
      <x:c r="F31" s="6"/>
      <x:c r="G31" s="6"/>
      <x:c r="H31" s="6"/>
    </x:row>
    <x:row r="32">
      <x:c r="A32" s="7"/>
      <x:c r="B32" s="7"/>
      <x:c r="C32" s="6"/>
      <x:c r="D32" s="6"/>
      <x:c r="E32" s="6"/>
      <x:c r="F32" s="6"/>
      <x:c r="G32" s="6"/>
      <x:c r="H32" s="6"/>
    </x:row>
    <x:row r="33">
      <x:c r="A33" s="7"/>
      <x:c r="B33" s="7"/>
      <x:c r="C33" s="6"/>
      <x:c r="D33" s="6"/>
      <x:c r="E33" s="6"/>
      <x:c r="F33" s="6"/>
      <x:c r="G33" s="6"/>
      <x:c r="H33" s="6"/>
    </x:row>
    <x:row r="34">
      <x:c r="A34" s="7"/>
      <x:c r="B34" s="7"/>
      <x:c r="C34" s="6"/>
      <x:c r="D34" s="6"/>
      <x:c r="E34" s="6"/>
      <x:c r="F34" s="6"/>
      <x:c r="G34" s="6"/>
      <x:c r="H34" s="6"/>
    </x:row>
    <x:row r="35">
      <x:c r="A35" s="7"/>
      <x:c r="B35" s="7"/>
      <x:c r="C35" s="6"/>
      <x:c r="D35" s="6"/>
      <x:c r="E35" s="6"/>
      <x:c r="F35" s="6"/>
      <x:c r="G35" s="6"/>
      <x:c r="H35" s="6"/>
    </x:row>
    <x:row r="36">
      <x:c r="A36" s="7"/>
      <x:c r="B36" s="7"/>
      <x:c r="C36" s="6"/>
      <x:c r="D36" s="6"/>
      <x:c r="E36" s="6"/>
      <x:c r="F36" s="6"/>
      <x:c r="G36" s="6"/>
      <x:c r="H36" s="6"/>
    </x:row>
    <x:row r="37">
      <x:c r="A37" s="7"/>
      <x:c r="B37" s="7"/>
      <x:c r="C37" s="6"/>
      <x:c r="D37" s="6"/>
      <x:c r="E37" s="6"/>
      <x:c r="F37" s="6"/>
      <x:c r="G37" s="6"/>
      <x:c r="H37" s="6"/>
    </x:row>
    <x:row r="38">
      <x:c r="A38" s="7"/>
      <x:c r="B38" s="7"/>
      <x:c r="C38" s="6"/>
      <x:c r="D38" s="6"/>
      <x:c r="E38" s="6"/>
      <x:c r="F38" s="6"/>
      <x:c r="G38" s="6"/>
      <x:c r="H38" s="6"/>
    </x:row>
    <x:row r="39">
      <x:c r="A39" s="7"/>
      <x:c r="B39" s="7"/>
      <x:c r="C39" s="6"/>
      <x:c r="D39" s="6"/>
      <x:c r="E39" s="6"/>
      <x:c r="F39" s="6"/>
      <x:c r="G39" s="6"/>
      <x:c r="H39" s="6"/>
    </x:row>
    <x:row r="40">
      <x:c r="A40" s="7"/>
      <x:c r="B40" s="7"/>
      <x:c r="C40" s="6"/>
      <x:c r="D40" s="6"/>
      <x:c r="E40" s="6"/>
      <x:c r="F40" s="6"/>
      <x:c r="G40" s="6"/>
      <x:c r="H40" s="6"/>
    </x:row>
    <x:row r="41">
      <x:c r="A41" s="7"/>
      <x:c r="B41" s="7"/>
      <x:c r="C41" s="6"/>
      <x:c r="D41" s="6"/>
      <x:c r="E41" s="6"/>
      <x:c r="F41" s="6"/>
      <x:c r="G41" s="6"/>
      <x:c r="H41" s="6"/>
    </x:row>
    <x:row r="42">
      <x:c r="A42" s="7"/>
      <x:c r="B42" s="7"/>
      <x:c r="C42" s="6"/>
      <x:c r="D42" s="6"/>
      <x:c r="E42" s="6"/>
      <x:c r="F42" s="6"/>
      <x:c r="G42" s="6"/>
      <x:c r="H42" s="6"/>
    </x:row>
    <x:row r="43">
      <x:c r="A43" s="7"/>
      <x:c r="B43" s="7"/>
      <x:c r="C43" s="6"/>
      <x:c r="D43" s="6"/>
      <x:c r="E43" s="6"/>
      <x:c r="F43" s="6"/>
      <x:c r="G43" s="6"/>
      <x:c r="H43" s="6"/>
    </x:row>
    <x:row r="44">
      <x:c r="A44" s="7"/>
      <x:c r="B44" s="7"/>
      <x:c r="C44" s="6"/>
      <x:c r="D44" s="6"/>
      <x:c r="E44" s="6"/>
      <x:c r="F44" s="6"/>
      <x:c r="G44" s="6"/>
      <x:c r="H44" s="6"/>
    </x:row>
    <x:row r="45">
      <x:c r="A45" s="7"/>
      <x:c r="B45" s="7"/>
      <x:c r="C45" s="6"/>
      <x:c r="D45" s="6"/>
      <x:c r="E45" s="6"/>
      <x:c r="F45" s="6"/>
      <x:c r="G45" s="6"/>
      <x:c r="H45" s="6"/>
    </x:row>
    <x:row r="46">
      <x:c r="A46" s="7"/>
      <x:c r="B46" s="7"/>
      <x:c r="C46" s="6"/>
      <x:c r="D46" s="6"/>
      <x:c r="E46" s="6"/>
      <x:c r="F46" s="6"/>
      <x:c r="G46" s="6"/>
      <x:c r="H46" s="6"/>
    </x:row>
    <x:row r="47">
      <x:c r="A47" s="7"/>
      <x:c r="B47" s="7"/>
      <x:c r="C47" s="6"/>
      <x:c r="D47" s="6"/>
      <x:c r="E47" s="6"/>
      <x:c r="F47" s="6"/>
      <x:c r="G47" s="6"/>
      <x:c r="H47" s="6"/>
    </x:row>
    <x:row r="48">
      <x:c r="A48" s="7"/>
      <x:c r="B48" s="7"/>
      <x:c r="C48" s="6"/>
      <x:c r="D48" s="6"/>
      <x:c r="E48" s="6"/>
      <x:c r="F48" s="6"/>
      <x:c r="G48" s="6"/>
      <x:c r="H48" s="6"/>
    </x:row>
    <x:row r="49">
      <x:c r="A49" s="7"/>
      <x:c r="B49" s="7"/>
      <x:c r="C49" s="6"/>
      <x:c r="D49" s="6"/>
      <x:c r="E49" s="6"/>
      <x:c r="F49" s="6"/>
      <x:c r="G49" s="6"/>
      <x:c r="H49" s="6"/>
    </x:row>
    <x:row r="50">
      <x:c r="A50" s="7"/>
      <x:c r="B50" s="7"/>
      <x:c r="C50" s="6"/>
      <x:c r="D50" s="6"/>
      <x:c r="E50" s="6"/>
      <x:c r="F50" s="6"/>
      <x:c r="G50" s="6"/>
      <x:c r="H50" s="6"/>
    </x:row>
    <x:row r="51">
      <x:c r="A51" s="7"/>
      <x:c r="B51" s="7"/>
      <x:c r="C51" s="6"/>
      <x:c r="D51" s="6"/>
      <x:c r="E51" s="6"/>
      <x:c r="F51" s="6"/>
      <x:c r="G51" s="6"/>
      <x:c r="H51" s="6"/>
    </x:row>
    <x:row r="52">
      <x:c r="A52" s="7"/>
      <x:c r="B52" s="7"/>
      <x:c r="C52" s="6"/>
      <x:c r="D52" s="6"/>
      <x:c r="E52" s="6"/>
      <x:c r="F52" s="6"/>
      <x:c r="G52" s="6"/>
      <x:c r="H52" s="6"/>
    </x:row>
    <x:row r="53">
      <x:c r="A53" s="7"/>
      <x:c r="B53" s="7"/>
      <x:c r="C53" s="6"/>
      <x:c r="D53" s="6"/>
      <x:c r="E53" s="6"/>
      <x:c r="F53" s="6"/>
      <x:c r="G53" s="6"/>
      <x:c r="H53" s="6"/>
    </x:row>
    <x:row r="54">
      <x:c r="A54" s="7"/>
      <x:c r="B54" s="7"/>
      <x:c r="C54" s="6"/>
      <x:c r="D54" s="6"/>
      <x:c r="E54" s="6"/>
      <x:c r="F54" s="6"/>
      <x:c r="G54" s="6"/>
      <x:c r="H54" s="6"/>
    </x:row>
    <x:row r="55">
      <x:c r="A55" s="7"/>
      <x:c r="B55" s="7"/>
      <x:c r="C55" s="6"/>
      <x:c r="D55" s="6"/>
      <x:c r="E55" s="6"/>
      <x:c r="F55" s="6"/>
      <x:c r="G55" s="6"/>
      <x:c r="H55" s="6"/>
    </x:row>
    <x:row r="56">
      <x:c r="A56" s="7"/>
      <x:c r="B56" s="7"/>
      <x:c r="C56" s="6"/>
      <x:c r="D56" s="6"/>
      <x:c r="E56" s="6"/>
      <x:c r="F56" s="6"/>
      <x:c r="G56" s="6"/>
      <x:c r="H56" s="6"/>
    </x:row>
    <x:row r="57">
      <x:c r="A57" s="7"/>
      <x:c r="B57" s="7"/>
      <x:c r="C57" s="6"/>
      <x:c r="D57" s="6"/>
      <x:c r="E57" s="6"/>
      <x:c r="F57" s="6"/>
      <x:c r="G57" s="6"/>
      <x:c r="H57" s="6"/>
    </x:row>
    <x:row r="58">
      <x:c r="A58" s="7"/>
      <x:c r="B58" s="7"/>
      <x:c r="C58" s="6"/>
      <x:c r="D58" s="6"/>
      <x:c r="E58" s="6"/>
      <x:c r="F58" s="6"/>
      <x:c r="G58" s="6"/>
      <x:c r="H58" s="6"/>
    </x:row>
    <x:row r="59">
      <x:c r="A59" s="7"/>
      <x:c r="B59" s="7"/>
      <x:c r="C59" s="6"/>
      <x:c r="D59" s="6"/>
      <x:c r="E59" s="6"/>
      <x:c r="F59" s="6"/>
      <x:c r="G59" s="6"/>
      <x:c r="H59" s="6"/>
    </x:row>
    <x:row r="60">
      <x:c r="A60" s="7"/>
      <x:c r="B60" s="7"/>
      <x:c r="C60" s="6"/>
      <x:c r="D60" s="6"/>
      <x:c r="E60" s="6"/>
      <x:c r="F60" s="6"/>
      <x:c r="G60" s="6"/>
      <x:c r="H60" s="6"/>
    </x:row>
    <x:row r="61">
      <x:c r="A61" s="7"/>
      <x:c r="B61" s="7"/>
      <x:c r="C61" s="6"/>
      <x:c r="D61" s="6"/>
      <x:c r="E61" s="6"/>
      <x:c r="F61" s="6"/>
      <x:c r="G61" s="6"/>
      <x:c r="H61" s="6"/>
    </x:row>
    <x:row r="62">
      <x:c r="A62" s="7"/>
      <x:c r="B62" s="7"/>
      <x:c r="C62" s="6"/>
      <x:c r="D62" s="6"/>
      <x:c r="E62" s="6"/>
      <x:c r="F62" s="6"/>
      <x:c r="G62" s="6"/>
      <x:c r="H62" s="6"/>
    </x:row>
    <x:row r="63">
      <x:c r="A63" s="7"/>
      <x:c r="B63" s="7"/>
      <x:c r="C63" s="6"/>
      <x:c r="D63" s="6"/>
      <x:c r="E63" s="6"/>
      <x:c r="F63" s="6"/>
      <x:c r="G63" s="6"/>
      <x:c r="H63" s="6"/>
    </x:row>
    <x:row r="64">
      <x:c r="A64" s="7"/>
      <x:c r="B64" s="7"/>
      <x:c r="C64" s="6"/>
      <x:c r="D64" s="6"/>
      <x:c r="E64" s="6"/>
      <x:c r="F64" s="6"/>
      <x:c r="G64" s="6"/>
      <x:c r="H64" s="6"/>
    </x:row>
    <x:row r="65">
      <x:c r="A65" s="7"/>
      <x:c r="B65" s="7"/>
      <x:c r="C65" s="6"/>
      <x:c r="D65" s="6"/>
      <x:c r="E65" s="6"/>
      <x:c r="F65" s="6"/>
      <x:c r="G65" s="6"/>
      <x:c r="H65" s="6"/>
    </x:row>
    <x:row r="66">
      <x:c r="A66" s="7"/>
      <x:c r="B66" s="7"/>
      <x:c r="C66" s="6"/>
      <x:c r="D66" s="6"/>
      <x:c r="E66" s="6"/>
      <x:c r="F66" s="6"/>
      <x:c r="G66" s="6"/>
      <x:c r="H66" s="6"/>
    </x:row>
    <x:row r="67">
      <x:c r="A67" s="7"/>
      <x:c r="B67" s="7"/>
      <x:c r="C67" s="6"/>
      <x:c r="D67" s="6"/>
      <x:c r="E67" s="6"/>
      <x:c r="F67" s="6"/>
      <x:c r="G67" s="6"/>
      <x:c r="H67" s="6"/>
    </x:row>
    <x:row r="68">
      <x:c r="A68" s="7"/>
      <x:c r="B68" s="7"/>
      <x:c r="C68" s="6"/>
      <x:c r="D68" s="6"/>
      <x:c r="E68" s="6"/>
      <x:c r="F68" s="6"/>
      <x:c r="G68" s="6"/>
      <x:c r="H68" s="6"/>
    </x:row>
    <x:row r="69">
      <x:c r="A69" s="7"/>
      <x:c r="B69" s="7"/>
      <x:c r="C69" s="6"/>
      <x:c r="D69" s="6"/>
      <x:c r="E69" s="6"/>
      <x:c r="F69" s="6"/>
      <x:c r="G69" s="6"/>
      <x:c r="H69" s="6"/>
    </x:row>
    <x:row r="70">
      <x:c r="A70" s="7"/>
      <x:c r="B70" s="7"/>
      <x:c r="C70" s="6"/>
      <x:c r="D70" s="6"/>
      <x:c r="E70" s="6"/>
      <x:c r="F70" s="6"/>
      <x:c r="G70" s="6"/>
      <x:c r="H70" s="6"/>
    </x:row>
    <x:row r="71">
      <x:c r="A71" s="7"/>
      <x:c r="B71" s="7"/>
      <x:c r="C71" s="6"/>
      <x:c r="D71" s="6"/>
      <x:c r="E71" s="6"/>
      <x:c r="F71" s="6"/>
      <x:c r="G71" s="6"/>
      <x:c r="H71" s="6"/>
    </x:row>
    <x:row r="72">
      <x:c r="A72" s="7"/>
      <x:c r="B72" s="7"/>
      <x:c r="C72" s="6"/>
      <x:c r="D72" s="6"/>
      <x:c r="E72" s="6"/>
      <x:c r="F72" s="6"/>
      <x:c r="G72" s="6"/>
      <x:c r="H72" s="6"/>
    </x:row>
    <x:row r="73">
      <x:c r="A73" s="7"/>
      <x:c r="B73" s="7"/>
      <x:c r="C73" s="6"/>
      <x:c r="D73" s="6"/>
      <x:c r="E73" s="6"/>
      <x:c r="F73" s="6"/>
      <x:c r="G73" s="6"/>
      <x:c r="H73" s="6"/>
    </x:row>
    <x:row r="74">
      <x:c r="A74" s="7"/>
      <x:c r="B74" s="7"/>
      <x:c r="C74" s="6"/>
      <x:c r="D74" s="6"/>
      <x:c r="E74" s="6"/>
      <x:c r="F74" s="6"/>
      <x:c r="G74" s="6"/>
      <x:c r="H74" s="6"/>
    </x:row>
    <x:row r="75">
      <x:c r="A75" s="7"/>
      <x:c r="B75" s="7"/>
      <x:c r="C75" s="6"/>
      <x:c r="D75" s="6"/>
      <x:c r="E75" s="6"/>
      <x:c r="F75" s="6"/>
      <x:c r="G75" s="6"/>
      <x:c r="H75" s="6"/>
    </x:row>
    <x:row r="76">
      <x:c r="A76" s="7"/>
      <x:c r="B76" s="7"/>
      <x:c r="C76" s="6"/>
      <x:c r="D76" s="6"/>
      <x:c r="E76" s="6"/>
      <x:c r="F76" s="6"/>
      <x:c r="G76" s="6"/>
      <x:c r="H76" s="6"/>
    </x:row>
    <x:row r="77">
      <x:c r="A77" s="7"/>
      <x:c r="B77" s="7"/>
      <x:c r="C77" s="6"/>
      <x:c r="D77" s="6"/>
      <x:c r="E77" s="6"/>
      <x:c r="F77" s="6"/>
      <x:c r="G77" s="6"/>
      <x:c r="H77" s="6"/>
    </x:row>
    <x:row r="78">
      <x:c r="A78" s="7"/>
      <x:c r="B78" s="7"/>
      <x:c r="C78" s="6"/>
      <x:c r="D78" s="6"/>
      <x:c r="E78" s="6"/>
      <x:c r="F78" s="6"/>
      <x:c r="G78" s="6"/>
      <x:c r="H78" s="6"/>
    </x:row>
    <x:row r="79">
      <x:c r="A79" s="7"/>
      <x:c r="B79" s="7"/>
      <x:c r="C79" s="6"/>
      <x:c r="D79" s="6"/>
      <x:c r="E79" s="6"/>
      <x:c r="F79" s="6"/>
      <x:c r="G79" s="6"/>
      <x:c r="H79" s="6"/>
    </x:row>
    <x:row r="80">
      <x:c r="A80" s="7"/>
      <x:c r="B80" s="7"/>
      <x:c r="C80" s="6"/>
      <x:c r="D80" s="6"/>
      <x:c r="E80" s="6"/>
      <x:c r="F80" s="6"/>
      <x:c r="G80" s="6"/>
      <x:c r="H80" s="6"/>
    </x:row>
    <x:row r="81">
      <x:c r="A81" s="7"/>
      <x:c r="B81" s="7"/>
      <x:c r="C81" s="6"/>
      <x:c r="D81" s="6"/>
      <x:c r="E81" s="6"/>
      <x:c r="F81" s="6"/>
      <x:c r="G81" s="6"/>
      <x:c r="H81" s="6"/>
    </x:row>
    <x:row r="82">
      <x:c r="A82" s="7"/>
      <x:c r="B82" s="7"/>
      <x:c r="C82" s="6"/>
      <x:c r="D82" s="6"/>
      <x:c r="E82" s="6"/>
      <x:c r="F82" s="6"/>
      <x:c r="G82" s="6"/>
      <x:c r="H82" s="6"/>
    </x:row>
    <x:row r="83">
      <x:c r="A83" s="7"/>
      <x:c r="B83" s="7"/>
      <x:c r="C83" s="6"/>
      <x:c r="D83" s="6"/>
      <x:c r="E83" s="6"/>
      <x:c r="F83" s="6"/>
      <x:c r="G83" s="6"/>
      <x:c r="H83" s="6"/>
    </x:row>
    <x:row r="84">
      <x:c r="A84" s="7"/>
      <x:c r="B84" s="7"/>
      <x:c r="C84" s="6"/>
      <x:c r="D84" s="6"/>
      <x:c r="E84" s="6"/>
      <x:c r="F84" s="6"/>
      <x:c r="G84" s="6"/>
      <x:c r="H84" s="6"/>
    </x:row>
    <x:row r="85">
      <x:c r="A85" s="7"/>
      <x:c r="B85" s="7"/>
      <x:c r="C85" s="6"/>
      <x:c r="D85" s="6"/>
      <x:c r="E85" s="6"/>
      <x:c r="F85" s="6"/>
      <x:c r="G85" s="6"/>
      <x:c r="H85" s="6"/>
    </x:row>
    <x:row r="86">
      <x:c r="A86" s="7"/>
      <x:c r="B86" s="7"/>
      <x:c r="C86" s="6"/>
      <x:c r="D86" s="6"/>
      <x:c r="E86" s="6"/>
      <x:c r="F86" s="6"/>
      <x:c r="G86" s="6"/>
      <x:c r="H86" s="6"/>
    </x:row>
    <x:row r="87">
      <x:c r="A87" s="7"/>
      <x:c r="B87" s="7"/>
      <x:c r="C87" s="6"/>
      <x:c r="D87" s="6"/>
      <x:c r="E87" s="6"/>
      <x:c r="F87" s="6"/>
      <x:c r="G87" s="6"/>
      <x:c r="H87" s="6"/>
    </x:row>
    <x:row r="88">
      <x:c r="A88" s="7"/>
      <x:c r="B88" s="7"/>
      <x:c r="C88" s="6"/>
      <x:c r="D88" s="6"/>
      <x:c r="E88" s="6"/>
      <x:c r="F88" s="6"/>
      <x:c r="G88" s="6"/>
      <x:c r="H88" s="6"/>
    </x:row>
    <x:row r="89">
      <x:c r="A89" s="7"/>
      <x:c r="B89" s="7"/>
      <x:c r="C89" s="6"/>
      <x:c r="D89" s="6"/>
      <x:c r="E89" s="6"/>
      <x:c r="F89" s="6"/>
      <x:c r="G89" s="6"/>
      <x:c r="H89" s="6"/>
    </x:row>
    <x:row r="90">
      <x:c r="A90" s="7"/>
      <x:c r="B90" s="7"/>
      <x:c r="C90" s="6"/>
      <x:c r="D90" s="6"/>
      <x:c r="E90" s="6"/>
      <x:c r="F90" s="6"/>
      <x:c r="G90" s="6"/>
      <x:c r="H90" s="6"/>
    </x:row>
    <x:row r="91">
      <x:c r="A91" s="7"/>
      <x:c r="B91" s="7"/>
      <x:c r="C91" s="6"/>
      <x:c r="D91" s="6"/>
      <x:c r="E91" s="6"/>
      <x:c r="F91" s="6"/>
      <x:c r="G91" s="6"/>
      <x:c r="H91" s="6"/>
    </x:row>
    <x:row r="92">
      <x:c r="A92" s="7"/>
      <x:c r="B92" s="7"/>
      <x:c r="C92" s="6"/>
      <x:c r="D92" s="6"/>
      <x:c r="E92" s="6"/>
      <x:c r="F92" s="6"/>
      <x:c r="G92" s="6"/>
      <x:c r="H92" s="6"/>
    </x:row>
    <x:row r="93">
      <x:c r="A93" s="7"/>
      <x:c r="B93" s="7"/>
      <x:c r="C93" s="6"/>
      <x:c r="D93" s="6"/>
      <x:c r="E93" s="6"/>
      <x:c r="F93" s="6"/>
      <x:c r="G93" s="6"/>
      <x:c r="H93" s="6"/>
    </x:row>
    <x:row r="94">
      <x:c r="A94" s="7"/>
      <x:c r="B94" s="7"/>
      <x:c r="C94" s="6"/>
      <x:c r="D94" s="6"/>
      <x:c r="E94" s="6"/>
      <x:c r="F94" s="6"/>
      <x:c r="G94" s="6"/>
      <x:c r="H94" s="6"/>
    </x:row>
    <x:row r="95">
      <x:c r="A95" s="7"/>
      <x:c r="B95" s="7"/>
      <x:c r="C95" s="6"/>
      <x:c r="D95" s="6"/>
      <x:c r="E95" s="6"/>
      <x:c r="F95" s="6"/>
      <x:c r="G95" s="6"/>
      <x:c r="H95" s="6"/>
    </x:row>
    <x:row r="96">
      <x:c r="A96" s="7"/>
      <x:c r="B96" s="7"/>
      <x:c r="C96" s="6"/>
      <x:c r="D96" s="6"/>
      <x:c r="E96" s="6"/>
      <x:c r="F96" s="6"/>
      <x:c r="G96" s="6"/>
      <x:c r="H96" s="6"/>
    </x:row>
    <x:row r="97">
      <x:c r="A97" s="7"/>
      <x:c r="B97" s="7"/>
      <x:c r="C97" s="6"/>
      <x:c r="D97" s="6"/>
      <x:c r="E97" s="6"/>
      <x:c r="F97" s="6"/>
      <x:c r="G97" s="6"/>
      <x:c r="H97" s="6"/>
    </x:row>
    <x:row r="98">
      <x:c r="A98" s="7"/>
      <x:c r="B98" s="7"/>
      <x:c r="C98" s="6"/>
      <x:c r="D98" s="6"/>
      <x:c r="E98" s="6"/>
      <x:c r="F98" s="6"/>
      <x:c r="G98" s="6"/>
      <x:c r="H98" s="6"/>
    </x:row>
    <x:row r="99">
      <x:c r="A99" s="7"/>
      <x:c r="B99" s="7"/>
      <x:c r="C99" s="6"/>
      <x:c r="D99" s="6"/>
      <x:c r="E99" s="6"/>
      <x:c r="F99" s="6"/>
      <x:c r="G99" s="6"/>
      <x:c r="H99" s="6"/>
    </x:row>
    <x:row r="100">
      <x:c r="A100" s="7"/>
      <x:c r="B100" s="7"/>
      <x:c r="C100" s="6"/>
      <x:c r="D100" s="6"/>
      <x:c r="E100" s="6"/>
      <x:c r="F100" s="6"/>
      <x:c r="G100" s="6"/>
      <x:c r="H100" s="6"/>
    </x:row>
    <x:row r="101">
      <x:c r="A101" s="7"/>
      <x:c r="B101" s="7"/>
      <x:c r="C101" s="6"/>
      <x:c r="D101" s="6"/>
      <x:c r="E101" s="6"/>
      <x:c r="F101" s="6"/>
      <x:c r="G101" s="6"/>
      <x:c r="H101" s="6"/>
    </x:row>
    <x:row r="102">
      <x:c r="A102" s="7"/>
      <x:c r="B102" s="7"/>
      <x:c r="C102" s="6"/>
      <x:c r="D102" s="6"/>
      <x:c r="E102" s="6"/>
      <x:c r="F102" s="6"/>
      <x:c r="G102" s="6"/>
      <x:c r="H102" s="6"/>
    </x:row>
    <x:row r="103">
      <x:c r="A103" s="7"/>
      <x:c r="B103" s="7"/>
      <x:c r="C103" s="6"/>
      <x:c r="D103" s="6"/>
      <x:c r="E103" s="6"/>
      <x:c r="F103" s="6"/>
      <x:c r="G103" s="6"/>
      <x:c r="H103" s="6"/>
    </x:row>
    <x:row r="104">
      <x:c r="A104" s="7"/>
      <x:c r="B104" s="7"/>
      <x:c r="C104" s="6"/>
      <x:c r="D104" s="6"/>
      <x:c r="E104" s="6"/>
      <x:c r="F104" s="6"/>
      <x:c r="G104" s="6"/>
      <x:c r="H104" s="6"/>
    </x:row>
    <x:row r="105">
      <x:c r="A105" s="7"/>
      <x:c r="B105" s="7"/>
      <x:c r="C105" s="6"/>
      <x:c r="D105" s="6"/>
      <x:c r="E105" s="6"/>
      <x:c r="F105" s="6"/>
      <x:c r="G105" s="6"/>
      <x:c r="H105" s="6"/>
    </x:row>
    <x:row r="106">
      <x:c r="A106" s="7"/>
      <x:c r="B106" s="7"/>
      <x:c r="C106" s="6"/>
      <x:c r="D106" s="6"/>
      <x:c r="E106" s="6"/>
      <x:c r="F106" s="6"/>
      <x:c r="G106" s="6"/>
      <x:c r="H106" s="6"/>
    </x:row>
    <x:row r="107">
      <x:c r="A107" s="7"/>
      <x:c r="B107" s="7"/>
      <x:c r="C107" s="6"/>
      <x:c r="D107" s="6"/>
      <x:c r="E107" s="6"/>
      <x:c r="F107" s="6"/>
      <x:c r="G107" s="6"/>
      <x:c r="H107" s="6"/>
    </x:row>
    <x:row r="108">
      <x:c r="A108" s="7"/>
      <x:c r="B108" s="7"/>
      <x:c r="C108" s="6"/>
      <x:c r="D108" s="6"/>
      <x:c r="E108" s="6"/>
      <x:c r="F108" s="6"/>
      <x:c r="G108" s="6"/>
      <x:c r="H108" s="6"/>
    </x:row>
    <x:row r="109">
      <x:c r="A109" s="7"/>
      <x:c r="B109" s="7"/>
      <x:c r="C109" s="6"/>
      <x:c r="D109" s="6"/>
      <x:c r="E109" s="6"/>
      <x:c r="F109" s="6"/>
      <x:c r="G109" s="6"/>
      <x:c r="H109" s="6"/>
    </x:row>
    <x:row r="110">
      <x:c r="A110" s="7"/>
      <x:c r="B110" s="7"/>
      <x:c r="C110" s="6"/>
      <x:c r="D110" s="6"/>
      <x:c r="E110" s="6"/>
      <x:c r="F110" s="6"/>
      <x:c r="G110" s="6"/>
      <x:c r="H110" s="6"/>
    </x:row>
    <x:row r="111">
      <x:c r="A111" s="7"/>
      <x:c r="B111" s="7"/>
      <x:c r="C111" s="6"/>
      <x:c r="D111" s="6"/>
      <x:c r="E111" s="6"/>
      <x:c r="F111" s="6"/>
      <x:c r="G111" s="6"/>
      <x:c r="H111" s="6"/>
    </x:row>
    <x:row r="112">
      <x:c r="A112" s="7"/>
      <x:c r="B112" s="7"/>
      <x:c r="C112" s="6"/>
      <x:c r="D112" s="6"/>
      <x:c r="E112" s="6"/>
      <x:c r="F112" s="6"/>
      <x:c r="G112" s="6"/>
      <x:c r="H112" s="6"/>
    </x:row>
    <x:row r="113">
      <x:c r="A113" s="7"/>
      <x:c r="B113" s="7"/>
      <x:c r="C113" s="6"/>
      <x:c r="D113" s="6"/>
      <x:c r="E113" s="6"/>
      <x:c r="F113" s="6"/>
      <x:c r="G113" s="6"/>
      <x:c r="H113" s="6"/>
    </x:row>
    <x:row r="114">
      <x:c r="A114" s="7"/>
      <x:c r="B114" s="7"/>
      <x:c r="C114" s="6"/>
      <x:c r="D114" s="6"/>
      <x:c r="E114" s="6"/>
      <x:c r="F114" s="6"/>
      <x:c r="G114" s="6"/>
      <x:c r="H114" s="6"/>
    </x:row>
    <x:row r="115">
      <x:c r="A115" s="7"/>
      <x:c r="B115" s="7"/>
      <x:c r="C115" s="6"/>
      <x:c r="D115" s="6"/>
      <x:c r="E115" s="6"/>
      <x:c r="F115" s="6"/>
      <x:c r="G115" s="6"/>
      <x:c r="H115" s="6"/>
    </x:row>
    <x:row r="116">
      <x:c r="A116" s="7"/>
      <x:c r="B116" s="7"/>
      <x:c r="C116" s="6"/>
      <x:c r="D116" s="6"/>
      <x:c r="E116" s="6"/>
      <x:c r="F116" s="6"/>
      <x:c r="G116" s="6"/>
      <x:c r="H116" s="6"/>
    </x:row>
    <x:row r="117">
      <x:c r="A117" s="7"/>
      <x:c r="B117" s="7"/>
      <x:c r="C117" s="6"/>
      <x:c r="D117" s="6"/>
      <x:c r="E117" s="6"/>
      <x:c r="F117" s="6"/>
      <x:c r="G117" s="6"/>
      <x:c r="H117" s="6"/>
    </x:row>
    <x:row r="118">
      <x:c r="A118" s="7"/>
      <x:c r="B118" s="7"/>
      <x:c r="C118" s="6"/>
      <x:c r="D118" s="6"/>
      <x:c r="E118" s="6"/>
      <x:c r="F118" s="6"/>
      <x:c r="G118" s="6"/>
      <x:c r="H118" s="6"/>
    </x:row>
    <x:row r="119">
      <x:c r="A119" s="7"/>
      <x:c r="B119" s="7"/>
      <x:c r="C119" s="6"/>
      <x:c r="D119" s="6"/>
      <x:c r="E119" s="6"/>
      <x:c r="F119" s="6"/>
      <x:c r="G119" s="6"/>
      <x:c r="H119" s="6"/>
    </x:row>
    <x:row r="120">
      <x:c r="A120" s="7"/>
      <x:c r="B120" s="7"/>
      <x:c r="C120" s="6"/>
      <x:c r="D120" s="6"/>
      <x:c r="E120" s="6"/>
      <x:c r="F120" s="6"/>
      <x:c r="G120" s="6"/>
      <x:c r="H120" s="6"/>
    </x:row>
    <x:row r="121">
      <x:c r="A121" s="7"/>
      <x:c r="B121" s="7"/>
      <x:c r="C121" s="6"/>
      <x:c r="D121" s="6"/>
      <x:c r="E121" s="6"/>
      <x:c r="F121" s="6"/>
      <x:c r="G121" s="6"/>
      <x:c r="H121" s="6"/>
    </x:row>
    <x:row r="122">
      <x:c r="A122" s="7"/>
      <x:c r="B122" s="7"/>
      <x:c r="C122" s="6"/>
      <x:c r="D122" s="6"/>
      <x:c r="E122" s="6"/>
      <x:c r="F122" s="6"/>
      <x:c r="G122" s="6"/>
      <x:c r="H122" s="6"/>
    </x:row>
    <x:row r="123">
      <x:c r="A123" s="7"/>
      <x:c r="B123" s="7"/>
      <x:c r="C123" s="6"/>
      <x:c r="D123" s="6"/>
      <x:c r="E123" s="6"/>
      <x:c r="F123" s="6"/>
      <x:c r="G123" s="6"/>
      <x:c r="H123" s="6"/>
    </x:row>
    <x:row r="124">
      <x:c r="A124" s="7"/>
      <x:c r="B124" s="7"/>
      <x:c r="C124" s="6"/>
      <x:c r="D124" s="6"/>
      <x:c r="E124" s="6"/>
      <x:c r="F124" s="6"/>
      <x:c r="G124" s="6"/>
      <x:c r="H124" s="6"/>
    </x:row>
    <x:row r="125">
      <x:c r="A125" s="7"/>
      <x:c r="B125" s="7"/>
      <x:c r="C125" s="6"/>
      <x:c r="D125" s="6"/>
      <x:c r="E125" s="6"/>
      <x:c r="F125" s="6"/>
      <x:c r="G125" s="6"/>
      <x:c r="H125" s="6"/>
    </x:row>
    <x:row r="126">
      <x:c r="A126" s="7"/>
      <x:c r="B126" s="7"/>
      <x:c r="C126" s="6"/>
      <x:c r="D126" s="6"/>
      <x:c r="E126" s="6"/>
      <x:c r="F126" s="6"/>
      <x:c r="G126" s="6"/>
      <x:c r="H126" s="6"/>
    </x:row>
    <x:row r="127">
      <x:c r="A127" s="7"/>
      <x:c r="B127" s="7"/>
      <x:c r="C127" s="6"/>
      <x:c r="D127" s="6"/>
      <x:c r="E127" s="6"/>
      <x:c r="F127" s="6"/>
      <x:c r="G127" s="6"/>
      <x:c r="H127" s="6"/>
    </x:row>
    <x:row r="128">
      <x:c r="A128" s="7"/>
      <x:c r="B128" s="7"/>
      <x:c r="C128" s="6"/>
      <x:c r="D128" s="6"/>
      <x:c r="E128" s="6"/>
      <x:c r="F128" s="6"/>
      <x:c r="G128" s="6"/>
      <x:c r="H128" s="6"/>
    </x:row>
    <x:row r="129">
      <x:c r="A129" s="7"/>
      <x:c r="B129" s="7"/>
      <x:c r="C129" s="6"/>
      <x:c r="D129" s="6"/>
      <x:c r="E129" s="6"/>
      <x:c r="F129" s="6"/>
      <x:c r="G129" s="6"/>
      <x:c r="H129" s="6"/>
    </x:row>
    <x:row r="130">
      <x:c r="A130" s="7"/>
      <x:c r="B130" s="7"/>
      <x:c r="C130" s="6"/>
      <x:c r="D130" s="6"/>
      <x:c r="E130" s="6"/>
      <x:c r="F130" s="6"/>
      <x:c r="G130" s="6"/>
      <x:c r="H130" s="6"/>
    </x:row>
    <x:row r="131">
      <x:c r="A131" s="7"/>
      <x:c r="B131" s="7"/>
      <x:c r="C131" s="6"/>
      <x:c r="D131" s="6"/>
      <x:c r="E131" s="6"/>
      <x:c r="F131" s="6"/>
      <x:c r="G131" s="6"/>
      <x:c r="H131" s="6"/>
    </x:row>
    <x:row r="132">
      <x:c r="A132" s="7"/>
      <x:c r="B132" s="7"/>
      <x:c r="C132" s="6"/>
      <x:c r="D132" s="6"/>
      <x:c r="E132" s="6"/>
      <x:c r="F132" s="6"/>
      <x:c r="G132" s="6"/>
      <x:c r="H132" s="6"/>
    </x:row>
    <x:row r="133">
      <x:c r="A133" s="7"/>
      <x:c r="B133" s="7"/>
      <x:c r="C133" s="6"/>
      <x:c r="D133" s="6"/>
      <x:c r="E133" s="6"/>
      <x:c r="F133" s="6"/>
      <x:c r="G133" s="6"/>
      <x:c r="H133" s="6"/>
    </x:row>
    <x:row r="134">
      <x:c r="A134" s="7"/>
      <x:c r="B134" s="7"/>
      <x:c r="C134" s="6"/>
      <x:c r="D134" s="6"/>
      <x:c r="E134" s="6"/>
      <x:c r="F134" s="6"/>
      <x:c r="G134" s="6"/>
      <x:c r="H134" s="6"/>
    </x:row>
    <x:row r="135">
      <x:c r="A135" s="7"/>
      <x:c r="B135" s="7"/>
      <x:c r="C135" s="6"/>
      <x:c r="D135" s="6"/>
      <x:c r="E135" s="6"/>
      <x:c r="F135" s="6"/>
      <x:c r="G135" s="6"/>
      <x:c r="H135" s="6"/>
    </x:row>
    <x:row r="136">
      <x:c r="A136" s="7"/>
      <x:c r="B136" s="7"/>
      <x:c r="C136" s="6"/>
      <x:c r="D136" s="6"/>
      <x:c r="E136" s="6"/>
      <x:c r="F136" s="6"/>
      <x:c r="G136" s="6"/>
      <x:c r="H136" s="6"/>
    </x:row>
    <x:row r="137">
      <x:c r="A137" s="7"/>
      <x:c r="B137" s="7"/>
      <x:c r="C137" s="6"/>
      <x:c r="D137" s="6"/>
      <x:c r="E137" s="6"/>
      <x:c r="F137" s="6"/>
      <x:c r="G137" s="6"/>
      <x:c r="H137" s="6"/>
    </x:row>
    <x:row r="138">
      <x:c r="A138" s="7"/>
      <x:c r="B138" s="7"/>
      <x:c r="C138" s="6"/>
      <x:c r="D138" s="6"/>
      <x:c r="E138" s="6"/>
      <x:c r="F138" s="6"/>
      <x:c r="G138" s="6"/>
      <x:c r="H138" s="6"/>
    </x:row>
    <x:row r="139">
      <x:c r="A139" s="7"/>
      <x:c r="B139" s="7"/>
      <x:c r="C139" s="6"/>
      <x:c r="D139" s="6"/>
      <x:c r="E139" s="6"/>
      <x:c r="F139" s="6"/>
      <x:c r="G139" s="6"/>
      <x:c r="H139" s="6"/>
    </x:row>
    <x:row r="140">
      <x:c r="A140" s="7"/>
      <x:c r="B140" s="7"/>
      <x:c r="C140" s="6"/>
      <x:c r="D140" s="6"/>
      <x:c r="E140" s="6"/>
      <x:c r="F140" s="6"/>
      <x:c r="G140" s="6"/>
      <x:c r="H140" s="6"/>
    </x:row>
    <x:row r="141">
      <x:c r="A141" s="7"/>
      <x:c r="B141" s="7"/>
      <x:c r="C141" s="6"/>
      <x:c r="D141" s="6"/>
      <x:c r="E141" s="6"/>
      <x:c r="F141" s="6"/>
      <x:c r="G141" s="6"/>
      <x:c r="H141" s="6"/>
    </x:row>
    <x:row r="142">
      <x:c r="A142" s="7"/>
      <x:c r="B142" s="7"/>
      <x:c r="C142" s="6"/>
      <x:c r="D142" s="6"/>
      <x:c r="E142" s="6"/>
      <x:c r="F142" s="6"/>
      <x:c r="G142" s="6"/>
      <x:c r="H142" s="6"/>
    </x:row>
    <x:row r="143">
      <x:c r="A143" s="7"/>
      <x:c r="B143" s="7"/>
      <x:c r="C143" s="6"/>
      <x:c r="D143" s="6"/>
      <x:c r="E143" s="6"/>
      <x:c r="F143" s="6"/>
      <x:c r="G143" s="6"/>
      <x:c r="H143" s="6"/>
    </x:row>
    <x:row r="144">
      <x:c r="A144" s="7"/>
      <x:c r="B144" s="7"/>
      <x:c r="C144" s="6"/>
      <x:c r="D144" s="6"/>
      <x:c r="E144" s="6"/>
      <x:c r="F144" s="6"/>
      <x:c r="G144" s="6"/>
      <x:c r="H144" s="6"/>
    </x:row>
    <x:row r="145">
      <x:c r="A145" s="7"/>
      <x:c r="B145" s="7"/>
      <x:c r="C145" s="6"/>
      <x:c r="D145" s="6"/>
      <x:c r="E145" s="6"/>
      <x:c r="F145" s="6"/>
      <x:c r="G145" s="6"/>
      <x:c r="H145" s="6"/>
    </x:row>
    <x:row r="146">
      <x:c r="A146" s="7"/>
      <x:c r="B146" s="7"/>
      <x:c r="C146" s="6"/>
      <x:c r="D146" s="6"/>
      <x:c r="E146" s="6"/>
      <x:c r="F146" s="6"/>
      <x:c r="G146" s="6"/>
      <x:c r="H146" s="6"/>
    </x:row>
    <x:row r="147">
      <x:c r="A147" s="7"/>
      <x:c r="B147" s="7"/>
      <x:c r="C147" s="6"/>
      <x:c r="D147" s="6"/>
      <x:c r="E147" s="6"/>
      <x:c r="F147" s="6"/>
      <x:c r="G147" s="6"/>
      <x:c r="H147" s="6"/>
    </x:row>
    <x:row r="148">
      <x:c r="A148" s="7"/>
      <x:c r="B148" s="7"/>
      <x:c r="C148" s="6"/>
      <x:c r="D148" s="6"/>
      <x:c r="E148" s="6"/>
      <x:c r="F148" s="6"/>
      <x:c r="G148" s="6"/>
      <x:c r="H148" s="6"/>
    </x:row>
    <x:row r="149">
      <x:c r="A149" s="7"/>
      <x:c r="B149" s="7"/>
      <x:c r="C149" s="6"/>
      <x:c r="D149" s="6"/>
      <x:c r="E149" s="6"/>
      <x:c r="F149" s="6"/>
      <x:c r="G149" s="6"/>
      <x:c r="H149" s="6"/>
    </x:row>
    <x:row r="150">
      <x:c r="A150" s="7"/>
      <x:c r="B150" s="7"/>
      <x:c r="C150" s="6"/>
      <x:c r="D150" s="6"/>
      <x:c r="E150" s="6"/>
      <x:c r="F150" s="6"/>
      <x:c r="G150" s="6"/>
      <x:c r="H150" s="6"/>
    </x:row>
    <x:row r="151">
      <x:c r="A151" s="7"/>
      <x:c r="B151" s="7"/>
      <x:c r="C151" s="6"/>
      <x:c r="D151" s="6"/>
      <x:c r="E151" s="6"/>
      <x:c r="F151" s="6"/>
      <x:c r="G151" s="6"/>
      <x:c r="H151" s="6"/>
    </x:row>
    <x:row r="152">
      <x:c r="A152" s="7"/>
      <x:c r="B152" s="7"/>
      <x:c r="C152" s="6"/>
      <x:c r="D152" s="6"/>
      <x:c r="E152" s="6"/>
      <x:c r="F152" s="6"/>
      <x:c r="G152" s="6"/>
      <x:c r="H152" s="6"/>
    </x:row>
    <x:row r="153">
      <x:c r="A153" s="7"/>
      <x:c r="B153" s="7"/>
      <x:c r="C153" s="6"/>
      <x:c r="D153" s="6"/>
      <x:c r="E153" s="6"/>
      <x:c r="F153" s="6"/>
      <x:c r="G153" s="6"/>
      <x:c r="H153" s="6"/>
    </x:row>
    <x:row r="154">
      <x:c r="A154" s="7"/>
      <x:c r="B154" s="7"/>
      <x:c r="C154" s="6"/>
      <x:c r="D154" s="6"/>
      <x:c r="E154" s="6"/>
      <x:c r="F154" s="6"/>
      <x:c r="G154" s="6"/>
      <x:c r="H154" s="6"/>
    </x:row>
    <x:row r="155">
      <x:c r="A155" s="7"/>
      <x:c r="B155" s="7"/>
      <x:c r="C155" s="6"/>
      <x:c r="D155" s="6"/>
      <x:c r="E155" s="6"/>
      <x:c r="F155" s="6"/>
      <x:c r="G155" s="6"/>
      <x:c r="H155" s="6"/>
    </x:row>
    <x:row r="156">
      <x:c r="A156" s="7"/>
      <x:c r="B156" s="7"/>
      <x:c r="C156" s="6"/>
      <x:c r="D156" s="6"/>
      <x:c r="E156" s="6"/>
      <x:c r="F156" s="6"/>
      <x:c r="G156" s="6"/>
      <x:c r="H156" s="6"/>
    </x:row>
    <x:row r="157">
      <x:c r="A157" s="7"/>
      <x:c r="B157" s="7"/>
      <x:c r="C157" s="6"/>
      <x:c r="D157" s="6"/>
      <x:c r="E157" s="6"/>
      <x:c r="F157" s="6"/>
      <x:c r="G157" s="6"/>
      <x:c r="H157" s="6"/>
    </x:row>
    <x:row r="158">
      <x:c r="A158" s="7"/>
      <x:c r="B158" s="7"/>
      <x:c r="C158" s="6"/>
      <x:c r="D158" s="6"/>
      <x:c r="E158" s="6"/>
      <x:c r="F158" s="6"/>
      <x:c r="G158" s="6"/>
      <x:c r="H158" s="6"/>
    </x:row>
    <x:row r="159">
      <x:c r="A159" s="7"/>
      <x:c r="B159" s="7"/>
      <x:c r="C159" s="6"/>
      <x:c r="D159" s="6"/>
      <x:c r="E159" s="6"/>
      <x:c r="F159" s="6"/>
      <x:c r="G159" s="6"/>
      <x:c r="H159" s="6"/>
    </x:row>
    <x:row r="160">
      <x:c r="A160" s="7"/>
      <x:c r="B160" s="7"/>
      <x:c r="C160" s="6"/>
      <x:c r="D160" s="6"/>
      <x:c r="E160" s="6"/>
      <x:c r="F160" s="6"/>
      <x:c r="G160" s="6"/>
      <x:c r="H160" s="6"/>
    </x:row>
    <x:row r="161">
      <x:c r="A161" s="7"/>
      <x:c r="B161" s="7"/>
      <x:c r="C161" s="6"/>
      <x:c r="D161" s="6"/>
      <x:c r="E161" s="6"/>
      <x:c r="F161" s="6"/>
      <x:c r="G161" s="6"/>
      <x:c r="H161" s="6"/>
    </x:row>
    <x:row r="162">
      <x:c r="A162" s="7"/>
      <x:c r="B162" s="7"/>
      <x:c r="C162" s="6"/>
      <x:c r="D162" s="6"/>
      <x:c r="E162" s="6"/>
      <x:c r="F162" s="6"/>
      <x:c r="G162" s="6"/>
      <x:c r="H162" s="6"/>
    </x:row>
    <x:row r="163">
      <x:c r="A163" s="7"/>
      <x:c r="B163" s="7"/>
      <x:c r="C163" s="6"/>
      <x:c r="D163" s="6"/>
      <x:c r="E163" s="6"/>
      <x:c r="F163" s="6"/>
      <x:c r="G163" s="6"/>
      <x:c r="H163" s="6"/>
    </x:row>
    <x:row r="164">
      <x:c r="A164" s="7"/>
      <x:c r="B164" s="7"/>
      <x:c r="C164" s="6"/>
      <x:c r="D164" s="6"/>
      <x:c r="E164" s="6"/>
      <x:c r="F164" s="6"/>
      <x:c r="G164" s="6"/>
      <x:c r="H164" s="6"/>
    </x:row>
    <x:row r="165">
      <x:c r="A165" s="7"/>
      <x:c r="B165" s="7"/>
      <x:c r="C165" s="6"/>
      <x:c r="D165" s="6"/>
      <x:c r="E165" s="6"/>
      <x:c r="F165" s="6"/>
      <x:c r="G165" s="6"/>
      <x:c r="H165" s="6"/>
    </x:row>
    <x:row r="166">
      <x:c r="A166" s="7"/>
      <x:c r="B166" s="7"/>
      <x:c r="C166" s="6"/>
      <x:c r="D166" s="6"/>
      <x:c r="E166" s="6"/>
      <x:c r="F166" s="6"/>
      <x:c r="G166" s="6"/>
      <x:c r="H166" s="6"/>
    </x:row>
    <x:row r="167">
      <x:c r="A167" s="7"/>
      <x:c r="B167" s="7"/>
      <x:c r="C167" s="6"/>
      <x:c r="D167" s="6"/>
      <x:c r="E167" s="6"/>
      <x:c r="F167" s="6"/>
      <x:c r="G167" s="6"/>
      <x:c r="H167" s="6"/>
    </x:row>
    <x:row r="168">
      <x:c r="A168" s="7"/>
      <x:c r="B168" s="7"/>
      <x:c r="C168" s="6"/>
      <x:c r="D168" s="6"/>
      <x:c r="E168" s="6"/>
      <x:c r="F168" s="6"/>
      <x:c r="G168" s="6"/>
      <x:c r="H168" s="6"/>
    </x:row>
    <x:row r="169">
      <x:c r="A169" s="7"/>
      <x:c r="B169" s="7"/>
      <x:c r="C169" s="6"/>
      <x:c r="D169" s="6"/>
      <x:c r="E169" s="6"/>
      <x:c r="F169" s="6"/>
      <x:c r="G169" s="6"/>
      <x:c r="H169" s="6"/>
    </x:row>
    <x:row r="170">
      <x:c r="A170" s="7"/>
      <x:c r="B170" s="7"/>
      <x:c r="C170" s="6"/>
      <x:c r="D170" s="6"/>
      <x:c r="E170" s="6"/>
      <x:c r="F170" s="6"/>
      <x:c r="G170" s="6"/>
      <x:c r="H170" s="6"/>
    </x:row>
    <x:row r="171">
      <x:c r="A171" s="7"/>
      <x:c r="B171" s="7"/>
      <x:c r="C171" s="6"/>
      <x:c r="D171" s="6"/>
      <x:c r="E171" s="6"/>
      <x:c r="F171" s="6"/>
      <x:c r="G171" s="6"/>
      <x:c r="H171" s="6"/>
    </x:row>
    <x:row r="172">
      <x:c r="A172" s="7"/>
      <x:c r="B172" s="7"/>
      <x:c r="C172" s="6"/>
      <x:c r="D172" s="6"/>
      <x:c r="E172" s="6"/>
      <x:c r="F172" s="6"/>
      <x:c r="G172" s="6"/>
      <x:c r="H172" s="6"/>
    </x:row>
    <x:row r="173">
      <x:c r="A173" s="7"/>
      <x:c r="B173" s="7"/>
      <x:c r="C173" s="6"/>
      <x:c r="D173" s="6"/>
      <x:c r="E173" s="6"/>
      <x:c r="F173" s="6"/>
      <x:c r="G173" s="6"/>
      <x:c r="H173" s="6"/>
    </x:row>
    <x:row r="174">
      <x:c r="A174" s="7"/>
      <x:c r="B174" s="7"/>
      <x:c r="C174" s="6"/>
      <x:c r="D174" s="6"/>
      <x:c r="E174" s="6"/>
      <x:c r="F174" s="6"/>
      <x:c r="G174" s="6"/>
      <x:c r="H174" s="6"/>
    </x:row>
    <x:row r="175">
      <x:c r="A175" s="7"/>
      <x:c r="B175" s="7"/>
      <x:c r="C175" s="6"/>
      <x:c r="D175" s="6"/>
      <x:c r="E175" s="6"/>
      <x:c r="F175" s="6"/>
      <x:c r="G175" s="6"/>
      <x:c r="H175" s="6"/>
    </x:row>
    <x:row r="176">
      <x:c r="A176" s="7"/>
      <x:c r="B176" s="7"/>
      <x:c r="C176" s="6"/>
      <x:c r="D176" s="6"/>
      <x:c r="E176" s="6"/>
      <x:c r="F176" s="6"/>
      <x:c r="G176" s="6"/>
      <x:c r="H176" s="6"/>
    </x:row>
    <x:row r="177">
      <x:c r="A177" s="7"/>
      <x:c r="B177" s="7"/>
      <x:c r="C177" s="6"/>
      <x:c r="D177" s="6"/>
      <x:c r="E177" s="6"/>
      <x:c r="F177" s="6"/>
      <x:c r="G177" s="6"/>
      <x:c r="H177" s="6"/>
    </x:row>
    <x:row r="178">
      <x:c r="A178" s="7"/>
      <x:c r="B178" s="7"/>
      <x:c r="C178" s="6"/>
      <x:c r="D178" s="6"/>
      <x:c r="E178" s="6"/>
      <x:c r="F178" s="6"/>
      <x:c r="G178" s="6"/>
      <x:c r="H178" s="6"/>
    </x:row>
    <x:row r="179">
      <x:c r="A179" s="7"/>
      <x:c r="B179" s="7"/>
      <x:c r="C179" s="6"/>
      <x:c r="D179" s="6"/>
      <x:c r="E179" s="6"/>
      <x:c r="F179" s="6"/>
      <x:c r="G179" s="6"/>
      <x:c r="H179" s="6"/>
    </x:row>
    <x:row r="180">
      <x:c r="A180" s="7"/>
      <x:c r="B180" s="7"/>
      <x:c r="C180" s="6"/>
      <x:c r="D180" s="6"/>
      <x:c r="E180" s="6"/>
      <x:c r="F180" s="6"/>
      <x:c r="G180" s="6"/>
      <x:c r="H180" s="6"/>
    </x:row>
    <x:row r="181">
      <x:c r="A181" s="7"/>
      <x:c r="B181" s="7"/>
      <x:c r="C181" s="6"/>
      <x:c r="D181" s="6"/>
      <x:c r="E181" s="6"/>
      <x:c r="F181" s="6"/>
      <x:c r="G181" s="6"/>
      <x:c r="H181" s="6"/>
    </x:row>
    <x:row r="182">
      <x:c r="A182" s="7"/>
      <x:c r="B182" s="7"/>
      <x:c r="C182" s="6"/>
      <x:c r="D182" s="6"/>
      <x:c r="E182" s="6"/>
      <x:c r="F182" s="6"/>
      <x:c r="G182" s="6"/>
      <x:c r="H182" s="6"/>
    </x:row>
    <x:row r="183">
      <x:c r="A183" s="7"/>
      <x:c r="B183" s="7"/>
      <x:c r="C183" s="6"/>
      <x:c r="D183" s="6"/>
      <x:c r="E183" s="6"/>
      <x:c r="F183" s="6"/>
      <x:c r="G183" s="6"/>
      <x:c r="H183" s="6"/>
    </x:row>
    <x:row r="184">
      <x:c r="A184" s="7"/>
      <x:c r="B184" s="7"/>
      <x:c r="C184" s="6"/>
      <x:c r="D184" s="6"/>
      <x:c r="E184" s="6"/>
      <x:c r="F184" s="6"/>
      <x:c r="G184" s="6"/>
      <x:c r="H184" s="6"/>
    </x:row>
    <x:row r="185">
      <x:c r="A185" s="7"/>
      <x:c r="B185" s="7"/>
      <x:c r="C185" s="6"/>
      <x:c r="D185" s="6"/>
      <x:c r="E185" s="6"/>
      <x:c r="F185" s="6"/>
      <x:c r="G185" s="6"/>
      <x:c r="H185" s="6"/>
    </x:row>
    <x:row r="186">
      <x:c r="A186" s="7"/>
      <x:c r="B186" s="7"/>
      <x:c r="C186" s="6"/>
      <x:c r="D186" s="6"/>
      <x:c r="E186" s="6"/>
      <x:c r="F186" s="6"/>
      <x:c r="G186" s="6"/>
      <x:c r="H186" s="6"/>
    </x:row>
    <x:row r="187">
      <x:c r="A187" s="7"/>
      <x:c r="B187" s="7"/>
      <x:c r="C187" s="6"/>
      <x:c r="D187" s="6"/>
      <x:c r="E187" s="6"/>
      <x:c r="F187" s="6"/>
      <x:c r="G187" s="6"/>
      <x:c r="H187" s="6"/>
    </x:row>
    <x:row r="188">
      <x:c r="A188" s="7"/>
      <x:c r="B188" s="7"/>
      <x:c r="C188" s="6"/>
      <x:c r="D188" s="6"/>
      <x:c r="E188" s="6"/>
      <x:c r="F188" s="6"/>
      <x:c r="G188" s="6"/>
      <x:c r="H188" s="6"/>
    </x:row>
    <x:row r="189">
      <x:c r="A189" s="7"/>
      <x:c r="B189" s="7"/>
      <x:c r="C189" s="6"/>
      <x:c r="D189" s="6"/>
      <x:c r="E189" s="6"/>
      <x:c r="F189" s="6"/>
      <x:c r="G189" s="6"/>
      <x:c r="H189" s="6"/>
    </x:row>
    <x:row r="190">
      <x:c r="A190" s="7"/>
      <x:c r="B190" s="7"/>
      <x:c r="C190" s="6"/>
      <x:c r="D190" s="6"/>
      <x:c r="E190" s="6"/>
      <x:c r="F190" s="6"/>
      <x:c r="G190" s="6"/>
      <x:c r="H190" s="6"/>
    </x:row>
    <x:row r="191">
      <x:c r="A191" s="7"/>
      <x:c r="B191" s="7"/>
      <x:c r="C191" s="6"/>
      <x:c r="D191" s="6"/>
      <x:c r="E191" s="6"/>
      <x:c r="F191" s="6"/>
      <x:c r="G191" s="6"/>
      <x:c r="H191" s="6"/>
    </x:row>
    <x:row r="192">
      <x:c r="A192" s="7"/>
      <x:c r="B192" s="7"/>
      <x:c r="C192" s="6"/>
      <x:c r="D192" s="6"/>
      <x:c r="E192" s="6"/>
      <x:c r="F192" s="6"/>
      <x:c r="G192" s="6"/>
      <x:c r="H192" s="6"/>
    </x:row>
    <x:row r="193">
      <x:c r="A193" s="7"/>
      <x:c r="B193" s="7"/>
      <x:c r="C193" s="6"/>
      <x:c r="D193" s="6"/>
      <x:c r="E193" s="6"/>
      <x:c r="F193" s="6"/>
      <x:c r="G193" s="6"/>
      <x:c r="H193" s="6"/>
    </x:row>
    <x:row r="194">
      <x:c r="A194" s="7"/>
      <x:c r="B194" s="7"/>
      <x:c r="C194" s="6"/>
      <x:c r="D194" s="6"/>
      <x:c r="E194" s="6"/>
      <x:c r="F194" s="6"/>
      <x:c r="G194" s="6"/>
      <x:c r="H194" s="6"/>
    </x:row>
    <x:row r="195">
      <x:c r="A195" s="7"/>
      <x:c r="B195" s="7"/>
      <x:c r="C195" s="6"/>
      <x:c r="D195" s="6"/>
      <x:c r="E195" s="6"/>
      <x:c r="F195" s="6"/>
      <x:c r="G195" s="6"/>
      <x:c r="H195" s="6"/>
    </x:row>
    <x:row r="196">
      <x:c r="A196" s="7"/>
      <x:c r="B196" s="7"/>
      <x:c r="C196" s="6"/>
      <x:c r="D196" s="6"/>
      <x:c r="E196" s="6"/>
      <x:c r="F196" s="6"/>
      <x:c r="G196" s="6"/>
      <x:c r="H196" s="6"/>
    </x:row>
    <x:row r="197">
      <x:c r="A197" s="7"/>
      <x:c r="B197" s="7"/>
      <x:c r="C197" s="6"/>
      <x:c r="D197" s="6"/>
      <x:c r="E197" s="6"/>
      <x:c r="F197" s="6"/>
      <x:c r="G197" s="6"/>
      <x:c r="H197" s="6"/>
    </x:row>
    <x:row r="198">
      <x:c r="A198" s="7"/>
      <x:c r="B198" s="7"/>
      <x:c r="C198" s="6"/>
      <x:c r="D198" s="6"/>
      <x:c r="E198" s="6"/>
      <x:c r="F198" s="6"/>
      <x:c r="G198" s="6"/>
      <x:c r="H198" s="6"/>
    </x:row>
    <x:row r="199">
      <x:c r="A199" s="7"/>
      <x:c r="B199" s="7"/>
      <x:c r="C199" s="6"/>
      <x:c r="D199" s="6"/>
      <x:c r="E199" s="6"/>
      <x:c r="F199" s="6"/>
      <x:c r="G199" s="6"/>
      <x:c r="H199" s="6"/>
    </x:row>
    <x:row r="200">
      <x:c r="A200" s="7"/>
      <x:c r="B200" s="7"/>
      <x:c r="C200" s="6"/>
      <x:c r="D200" s="6"/>
      <x:c r="E200" s="6"/>
      <x:c r="F200" s="6"/>
      <x:c r="G200" s="6"/>
      <x:c r="H2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3" hidden="0" customWidth="1"/>
    <x:col min="4" max="4" width="24" hidden="0" customWidth="1"/>
    <x:col min="5" max="5" width="30" hidden="0" customWidth="1"/>
    <x:col min="6" max="6" width="24" hidden="0" customWidth="1"/>
    <x:col min="7" max="7" width="24" hidden="0" customWidth="1"/>
    <x:col min="8" max="8" width="21" hidden="0" customWidth="1"/>
    <x:col min="9" max="9" width="15" hidden="0" customWidth="1"/>
    <x:col min="10" max="10" width="18" hidden="0" customWidth="1"/>
    <x:col min="11" max="11" width="15" hidden="0" customWidth="1"/>
    <x:col min="12" max="12" width="16" hidden="0" customWidth="1"/>
    <x:col min="13" max="13" width="21" hidden="0" customWidth="1"/>
    <x:col min="14" max="14" width="19" hidden="0" customWidth="1"/>
    <x:col min="15" max="15" width="17" hidden="0" customWidth="1"/>
    <x:col min="16" max="16" width="20" hidden="0" customWidth="1"/>
    <x:col min="17" max="17" width="28" hidden="0" customWidth="1"/>
    <x:col min="18" max="18" width="17" hidden="0" customWidth="1"/>
    <x:col min="19" max="19" width="20" hidden="0" customWidth="1"/>
    <x:col min="20" max="20" width="28" hidden="0" customWidth="1"/>
    <x:col min="21" max="21" width="34" hidden="0" customWidth="1"/>
    <x:col min="22" max="22" width="39" hidden="0" customWidth="1"/>
    <x:col min="23" max="23" width="52" hidden="0" customWidth="1"/>
    <x:col min="24" max="24" width="28" hidden="0" customWidth="1"/>
    <x:col min="25" max="25" width="27" hidden="0" customWidth="1"/>
    <x:col min="26" max="26" width="28" hidden="0" customWidth="1"/>
    <x:col min="27" max="27" width="28" hidden="0" customWidth="1"/>
    <x:col min="28" max="28" width="42" hidden="0" customWidth="1"/>
    <x:col min="29" max="29" width="24" hidden="0" customWidth="1"/>
    <x:col min="30" max="30" width="24" hidden="0" customWidth="1"/>
  </x:cols>
  <x:sheetData>
    <x:row r="1" ht="25" customHeight="1">
      <x:c r="A1" s="7"/>
      <x:c r="B1" s="7"/>
      <x:c r="C1" s="4" t="str">
        <x:v>Transaction ledger template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7"/>
      <x:c r="B2" s="7"/>
      <x:c r="C2" s="5" t="str">
        <x:v>Leave a screenshot amount out of this ledger until a transaction is identified. Record provider/report dates separately from announcement, close, drawdown, record and cash dates.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</x:row>
    <x:row r="5" ht="30" customHeight="1">
      <x:c r="A5" s="7"/>
      <x:c r="B5" s="7"/>
      <x:c r="C5" s="18" t="str">
        <x:v>Deal ID</x:v>
      </x:c>
      <x:c r="D5" s="18" t="str">
        <x:v>Company</x:v>
      </x:c>
      <x:c r="E5" s="18" t="str">
        <x:v>Legal recipient</x:v>
      </x:c>
      <x:c r="F5" s="18" t="str">
        <x:v>Company / deal announcement date</x:v>
      </x:c>
      <x:c r="G5" s="18" t="str">
        <x:v>Funding close / draw date</x:v>
      </x:c>
      <x:c r="H5" s="18" t="str">
        <x:v>Instrument</x:v>
      </x:c>
      <x:c r="I5" s="18" t="str">
        <x:v>Stage</x:v>
      </x:c>
      <x:c r="J5" s="18" t="str">
        <x:v>Original amount</x:v>
      </x:c>
      <x:c r="K5" s="18" t="str">
        <x:v>Currency</x:v>
      </x:c>
      <x:c r="L5" s="18" t="str">
        <x:v>FX to USD</x:v>
      </x:c>
      <x:c r="M5" s="18" t="str">
        <x:v>USD equivalent</x:v>
      </x:c>
      <x:c r="N5" s="18" t="str">
        <x:v>Cash received (orig. currency)</x:v>
      </x:c>
      <x:c r="O5" s="18" t="str">
        <x:v>Receipt status</x:v>
      </x:c>
      <x:c r="P5" s="18" t="str">
        <x:v>Source ID</x:v>
      </x:c>
      <x:c r="Q5" s="18" t="str">
        <x:v>Source strength</x:v>
      </x:c>
      <x:c r="R5" s="18" t="str">
        <x:v>Country allocation basis</x:v>
      </x:c>
      <x:c r="S5" s="18" t="str">
        <x:v>Kenya share %</x:v>
      </x:c>
      <x:c r="T5" s="18" t="str">
        <x:v>Kenya-allocated USD</x:v>
      </x:c>
      <x:c r="U5" s="18" t="str">
        <x:v>Use of funds</x:v>
      </x:c>
      <x:c r="V5" s="18" t="str">
        <x:v>Security / dilution / priority</x:v>
      </x:c>
      <x:c r="W5" s="18" t="str">
        <x:v>Analyst note</x:v>
      </x:c>
      <x:c r="X5" s="18" t="str">
        <x:v>Provider / database</x:v>
      </x:c>
      <x:c r="Y5" s="18" t="str">
        <x:v>Provider report publication date</x:v>
      </x:c>
      <x:c r="Z5" s="18" t="str">
        <x:v>Provider record / first-seen date</x:v>
      </x:c>
      <x:c r="AA5" s="18" t="str">
        <x:v>Provider snapshot / export as-of date</x:v>
      </x:c>
      <x:c r="AB5" s="18" t="str">
        <x:v>Period assigned by provider</x:v>
      </x:c>
      <x:c r="AC5" s="18" t="str">
        <x:v>Period assignment date basis</x:v>
      </x:c>
      <x:c r="AD5" s="18" t="str">
        <x:v>Vintage / release ID</x:v>
      </x:c>
    </x:row>
    <x:row r="6">
      <x:c r="A6" s="7"/>
      <x:c r="B6" s="7"/>
      <x:c r="C6" s="30"/>
      <x:c r="D6" s="30"/>
      <x:c r="E6" s="32"/>
      <x:c r="F6" s="30"/>
      <x:c r="G6" s="30"/>
      <x:c r="H6" s="32"/>
      <x:c r="I6" s="30"/>
      <x:c r="J6" s="74"/>
      <x:c r="K6" s="74"/>
      <x:c r="L6" s="74"/>
      <x:c r="M6" s="82" t="str">
        <x:f>IF(OR(J6="",L6=""),"",J6*L6)</x:f>
      </x:c>
      <x:c r="N6" s="32"/>
      <x:c r="O6" s="32"/>
      <x:c r="P6" s="30"/>
      <x:c r="Q6" s="32"/>
      <x:c r="R6" s="30"/>
      <x:c r="S6" s="77"/>
      <x:c r="T6" s="88" t="str">
        <x:f>IF(OR(M6="",S6=""),"",M6*S6)</x:f>
      </x:c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</x:row>
    <x:row r="7">
      <x:c r="A7" s="7"/>
      <x:c r="B7" s="7"/>
      <x:c r="C7" s="40"/>
      <x:c r="D7" s="40"/>
      <x:c r="E7" s="70"/>
      <x:c r="F7" s="40"/>
      <x:c r="G7" s="40"/>
      <x:c r="H7" s="70"/>
      <x:c r="I7" s="40"/>
      <x:c r="J7" s="75"/>
      <x:c r="K7" s="75"/>
      <x:c r="L7" s="75"/>
      <x:c r="M7" s="83" t="str">
        <x:f>IF(OR(J7="",L7=""),"",J7*L7)</x:f>
      </x:c>
      <x:c r="N7" s="70"/>
      <x:c r="O7" s="70"/>
      <x:c r="P7" s="40"/>
      <x:c r="Q7" s="70"/>
      <x:c r="R7" s="40"/>
      <x:c r="S7" s="44"/>
      <x:c r="T7" s="89" t="str">
        <x:f>IF(OR(M7="",S7=""),"",M7*S7)</x:f>
      </x:c>
      <x:c r="U7" s="70"/>
      <x:c r="V7" s="70"/>
      <x:c r="W7" s="70"/>
      <x:c r="X7" s="70"/>
      <x:c r="Y7" s="70"/>
      <x:c r="Z7" s="70"/>
      <x:c r="AA7" s="70"/>
      <x:c r="AB7" s="70"/>
      <x:c r="AC7" s="70"/>
      <x:c r="AD7" s="70"/>
    </x:row>
    <x:row r="8">
      <x:c r="A8" s="7"/>
      <x:c r="B8" s="7"/>
      <x:c r="C8" s="40"/>
      <x:c r="D8" s="40"/>
      <x:c r="E8" s="70"/>
      <x:c r="F8" s="40"/>
      <x:c r="G8" s="40"/>
      <x:c r="H8" s="70"/>
      <x:c r="I8" s="40"/>
      <x:c r="J8" s="75"/>
      <x:c r="K8" s="75"/>
      <x:c r="L8" s="75"/>
      <x:c r="M8" s="83" t="str">
        <x:f>IF(OR(J8="",L8=""),"",J8*L8)</x:f>
      </x:c>
      <x:c r="N8" s="70"/>
      <x:c r="O8" s="70"/>
      <x:c r="P8" s="40"/>
      <x:c r="Q8" s="70"/>
      <x:c r="R8" s="40"/>
      <x:c r="S8" s="44"/>
      <x:c r="T8" s="89" t="str">
        <x:f>IF(OR(M8="",S8=""),"",M8*S8)</x:f>
      </x:c>
      <x:c r="U8" s="70"/>
      <x:c r="V8" s="70"/>
      <x:c r="W8" s="70"/>
      <x:c r="X8" s="70"/>
      <x:c r="Y8" s="70"/>
      <x:c r="Z8" s="70"/>
      <x:c r="AA8" s="70"/>
      <x:c r="AB8" s="70"/>
      <x:c r="AC8" s="70"/>
      <x:c r="AD8" s="70"/>
    </x:row>
    <x:row r="9">
      <x:c r="A9" s="7"/>
      <x:c r="B9" s="7"/>
      <x:c r="C9" s="40"/>
      <x:c r="D9" s="40"/>
      <x:c r="E9" s="70"/>
      <x:c r="F9" s="40"/>
      <x:c r="G9" s="40"/>
      <x:c r="H9" s="70"/>
      <x:c r="I9" s="40"/>
      <x:c r="J9" s="75"/>
      <x:c r="K9" s="75"/>
      <x:c r="L9" s="75"/>
      <x:c r="M9" s="83" t="str">
        <x:f>IF(OR(J9="",L9=""),"",J9*L9)</x:f>
      </x:c>
      <x:c r="N9" s="70"/>
      <x:c r="O9" s="70"/>
      <x:c r="P9" s="40"/>
      <x:c r="Q9" s="70"/>
      <x:c r="R9" s="40"/>
      <x:c r="S9" s="44"/>
      <x:c r="T9" s="89" t="str">
        <x:f>IF(OR(M9="",S9=""),"",M9*S9)</x:f>
      </x:c>
      <x:c r="U9" s="70"/>
      <x:c r="V9" s="70"/>
      <x:c r="W9" s="70"/>
      <x:c r="X9" s="70"/>
      <x:c r="Y9" s="70"/>
      <x:c r="Z9" s="70"/>
      <x:c r="AA9" s="70"/>
      <x:c r="AB9" s="70"/>
      <x:c r="AC9" s="70"/>
      <x:c r="AD9" s="70"/>
    </x:row>
    <x:row r="10">
      <x:c r="A10" s="7"/>
      <x:c r="B10" s="7"/>
      <x:c r="C10" s="40"/>
      <x:c r="D10" s="40"/>
      <x:c r="E10" s="70"/>
      <x:c r="F10" s="40"/>
      <x:c r="G10" s="40"/>
      <x:c r="H10" s="70"/>
      <x:c r="I10" s="40"/>
      <x:c r="J10" s="75"/>
      <x:c r="K10" s="75"/>
      <x:c r="L10" s="75"/>
      <x:c r="M10" s="83" t="str">
        <x:f>IF(OR(J10="",L10=""),"",J10*L10)</x:f>
      </x:c>
      <x:c r="N10" s="70"/>
      <x:c r="O10" s="70"/>
      <x:c r="P10" s="40"/>
      <x:c r="Q10" s="70"/>
      <x:c r="R10" s="40"/>
      <x:c r="S10" s="44"/>
      <x:c r="T10" s="89" t="str">
        <x:f>IF(OR(M10="",S10=""),"",M10*S10)</x:f>
      </x:c>
      <x:c r="U10" s="70"/>
      <x:c r="V10" s="70"/>
      <x:c r="W10" s="70"/>
      <x:c r="X10" s="70"/>
      <x:c r="Y10" s="70"/>
      <x:c r="Z10" s="70"/>
      <x:c r="AA10" s="70"/>
      <x:c r="AB10" s="70"/>
      <x:c r="AC10" s="70"/>
      <x:c r="AD10" s="70"/>
    </x:row>
    <x:row r="11">
      <x:c r="A11" s="7"/>
      <x:c r="B11" s="7"/>
      <x:c r="C11" s="40"/>
      <x:c r="D11" s="40"/>
      <x:c r="E11" s="70"/>
      <x:c r="F11" s="40"/>
      <x:c r="G11" s="40"/>
      <x:c r="H11" s="70"/>
      <x:c r="I11" s="40"/>
      <x:c r="J11" s="75"/>
      <x:c r="K11" s="75"/>
      <x:c r="L11" s="75"/>
      <x:c r="M11" s="83" t="str">
        <x:f>IF(OR(J11="",L11=""),"",J11*L11)</x:f>
      </x:c>
      <x:c r="N11" s="70"/>
      <x:c r="O11" s="70"/>
      <x:c r="P11" s="40"/>
      <x:c r="Q11" s="70"/>
      <x:c r="R11" s="40"/>
      <x:c r="S11" s="44"/>
      <x:c r="T11" s="89" t="str">
        <x:f>IF(OR(M11="",S11=""),"",M11*S11)</x:f>
      </x:c>
      <x:c r="U11" s="70"/>
      <x:c r="V11" s="70"/>
      <x:c r="W11" s="70"/>
      <x:c r="X11" s="70"/>
      <x:c r="Y11" s="70"/>
      <x:c r="Z11" s="70"/>
      <x:c r="AA11" s="70"/>
      <x:c r="AB11" s="70"/>
      <x:c r="AC11" s="70"/>
      <x:c r="AD11" s="70"/>
    </x:row>
    <x:row r="12">
      <x:c r="A12" s="7"/>
      <x:c r="B12" s="7"/>
      <x:c r="C12" s="40"/>
      <x:c r="D12" s="40"/>
      <x:c r="E12" s="70"/>
      <x:c r="F12" s="40"/>
      <x:c r="G12" s="40"/>
      <x:c r="H12" s="70"/>
      <x:c r="I12" s="40"/>
      <x:c r="J12" s="75"/>
      <x:c r="K12" s="75"/>
      <x:c r="L12" s="75"/>
      <x:c r="M12" s="83" t="str">
        <x:f>IF(OR(J12="",L12=""),"",J12*L12)</x:f>
      </x:c>
      <x:c r="N12" s="70"/>
      <x:c r="O12" s="70"/>
      <x:c r="P12" s="40"/>
      <x:c r="Q12" s="70"/>
      <x:c r="R12" s="40"/>
      <x:c r="S12" s="44"/>
      <x:c r="T12" s="89" t="str">
        <x:f>IF(OR(M12="",S12=""),"",M12*S12)</x:f>
      </x:c>
      <x:c r="U12" s="70"/>
      <x:c r="V12" s="70"/>
      <x:c r="W12" s="70"/>
      <x:c r="X12" s="70"/>
      <x:c r="Y12" s="70"/>
      <x:c r="Z12" s="70"/>
      <x:c r="AA12" s="70"/>
      <x:c r="AB12" s="70"/>
      <x:c r="AC12" s="70"/>
      <x:c r="AD12" s="70"/>
    </x:row>
    <x:row r="13">
      <x:c r="A13" s="7"/>
      <x:c r="B13" s="7"/>
      <x:c r="C13" s="40"/>
      <x:c r="D13" s="40"/>
      <x:c r="E13" s="70"/>
      <x:c r="F13" s="40"/>
      <x:c r="G13" s="40"/>
      <x:c r="H13" s="70"/>
      <x:c r="I13" s="40"/>
      <x:c r="J13" s="75"/>
      <x:c r="K13" s="75"/>
      <x:c r="L13" s="75"/>
      <x:c r="M13" s="83" t="str">
        <x:f>IF(OR(J13="",L13=""),"",J13*L13)</x:f>
      </x:c>
      <x:c r="N13" s="70"/>
      <x:c r="O13" s="70"/>
      <x:c r="P13" s="40"/>
      <x:c r="Q13" s="70"/>
      <x:c r="R13" s="40"/>
      <x:c r="S13" s="44"/>
      <x:c r="T13" s="89" t="str">
        <x:f>IF(OR(M13="",S13=""),"",M13*S13)</x:f>
      </x:c>
      <x:c r="U13" s="70"/>
      <x:c r="V13" s="70"/>
      <x:c r="W13" s="70"/>
      <x:c r="X13" s="70"/>
      <x:c r="Y13" s="70"/>
      <x:c r="Z13" s="70"/>
      <x:c r="AA13" s="70"/>
      <x:c r="AB13" s="70"/>
      <x:c r="AC13" s="70"/>
      <x:c r="AD13" s="70"/>
    </x:row>
    <x:row r="14">
      <x:c r="A14" s="7"/>
      <x:c r="B14" s="7"/>
      <x:c r="C14" s="40"/>
      <x:c r="D14" s="40"/>
      <x:c r="E14" s="70"/>
      <x:c r="F14" s="40"/>
      <x:c r="G14" s="40"/>
      <x:c r="H14" s="70"/>
      <x:c r="I14" s="40"/>
      <x:c r="J14" s="75"/>
      <x:c r="K14" s="75"/>
      <x:c r="L14" s="75"/>
      <x:c r="M14" s="83" t="str">
        <x:f>IF(OR(J14="",L14=""),"",J14*L14)</x:f>
      </x:c>
      <x:c r="N14" s="70"/>
      <x:c r="O14" s="70"/>
      <x:c r="P14" s="40"/>
      <x:c r="Q14" s="70"/>
      <x:c r="R14" s="40"/>
      <x:c r="S14" s="44"/>
      <x:c r="T14" s="89" t="str">
        <x:f>IF(OR(M14="",S14=""),"",M14*S14)</x:f>
      </x:c>
      <x:c r="U14" s="70"/>
      <x:c r="V14" s="70"/>
      <x:c r="W14" s="70"/>
      <x:c r="X14" s="70"/>
      <x:c r="Y14" s="70"/>
      <x:c r="Z14" s="70"/>
      <x:c r="AA14" s="70"/>
      <x:c r="AB14" s="70"/>
      <x:c r="AC14" s="70"/>
      <x:c r="AD14" s="70"/>
    </x:row>
    <x:row r="15">
      <x:c r="A15" s="7"/>
      <x:c r="B15" s="7"/>
      <x:c r="C15" s="40"/>
      <x:c r="D15" s="40"/>
      <x:c r="E15" s="70"/>
      <x:c r="F15" s="40"/>
      <x:c r="G15" s="40"/>
      <x:c r="H15" s="70"/>
      <x:c r="I15" s="40"/>
      <x:c r="J15" s="75"/>
      <x:c r="K15" s="75"/>
      <x:c r="L15" s="75"/>
      <x:c r="M15" s="83" t="str">
        <x:f>IF(OR(J15="",L15=""),"",J15*L15)</x:f>
      </x:c>
      <x:c r="N15" s="70"/>
      <x:c r="O15" s="70"/>
      <x:c r="P15" s="40"/>
      <x:c r="Q15" s="70"/>
      <x:c r="R15" s="40"/>
      <x:c r="S15" s="44"/>
      <x:c r="T15" s="89" t="str">
        <x:f>IF(OR(M15="",S15=""),"",M15*S15)</x:f>
      </x:c>
      <x:c r="U15" s="70"/>
      <x:c r="V15" s="70"/>
      <x:c r="W15" s="70"/>
      <x:c r="X15" s="70"/>
      <x:c r="Y15" s="70"/>
      <x:c r="Z15" s="70"/>
      <x:c r="AA15" s="70"/>
      <x:c r="AB15" s="70"/>
      <x:c r="AC15" s="70"/>
      <x:c r="AD15" s="70"/>
    </x:row>
    <x:row r="16">
      <x:c r="A16" s="7"/>
      <x:c r="B16" s="7"/>
      <x:c r="C16" s="40"/>
      <x:c r="D16" s="40"/>
      <x:c r="E16" s="70"/>
      <x:c r="F16" s="40"/>
      <x:c r="G16" s="40"/>
      <x:c r="H16" s="70"/>
      <x:c r="I16" s="40"/>
      <x:c r="J16" s="75"/>
      <x:c r="K16" s="75"/>
      <x:c r="L16" s="75"/>
      <x:c r="M16" s="83" t="str">
        <x:f>IF(OR(J16="",L16=""),"",J16*L16)</x:f>
      </x:c>
      <x:c r="N16" s="70"/>
      <x:c r="O16" s="70"/>
      <x:c r="P16" s="40"/>
      <x:c r="Q16" s="70"/>
      <x:c r="R16" s="40"/>
      <x:c r="S16" s="44"/>
      <x:c r="T16" s="89" t="str">
        <x:f>IF(OR(M16="",S16=""),"",M16*S16)</x:f>
      </x:c>
      <x:c r="U16" s="70"/>
      <x:c r="V16" s="70"/>
      <x:c r="W16" s="70"/>
      <x:c r="X16" s="70"/>
      <x:c r="Y16" s="70"/>
      <x:c r="Z16" s="70"/>
      <x:c r="AA16" s="70"/>
      <x:c r="AB16" s="70"/>
      <x:c r="AC16" s="70"/>
      <x:c r="AD16" s="70"/>
    </x:row>
    <x:row r="17">
      <x:c r="A17" s="7"/>
      <x:c r="B17" s="7"/>
      <x:c r="C17" s="40"/>
      <x:c r="D17" s="40"/>
      <x:c r="E17" s="70"/>
      <x:c r="F17" s="40"/>
      <x:c r="G17" s="40"/>
      <x:c r="H17" s="70"/>
      <x:c r="I17" s="40"/>
      <x:c r="J17" s="75"/>
      <x:c r="K17" s="75"/>
      <x:c r="L17" s="75"/>
      <x:c r="M17" s="83" t="str">
        <x:f>IF(OR(J17="",L17=""),"",J17*L17)</x:f>
      </x:c>
      <x:c r="N17" s="70"/>
      <x:c r="O17" s="70"/>
      <x:c r="P17" s="40"/>
      <x:c r="Q17" s="70"/>
      <x:c r="R17" s="40"/>
      <x:c r="S17" s="44"/>
      <x:c r="T17" s="89" t="str">
        <x:f>IF(OR(M17="",S17=""),"",M17*S17)</x:f>
      </x:c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</x:row>
    <x:row r="18">
      <x:c r="A18" s="7"/>
      <x:c r="B18" s="7"/>
      <x:c r="C18" s="40"/>
      <x:c r="D18" s="40"/>
      <x:c r="E18" s="70"/>
      <x:c r="F18" s="40"/>
      <x:c r="G18" s="40"/>
      <x:c r="H18" s="70"/>
      <x:c r="I18" s="40"/>
      <x:c r="J18" s="75"/>
      <x:c r="K18" s="75"/>
      <x:c r="L18" s="75"/>
      <x:c r="M18" s="83" t="str">
        <x:f>IF(OR(J18="",L18=""),"",J18*L18)</x:f>
      </x:c>
      <x:c r="N18" s="70"/>
      <x:c r="O18" s="70"/>
      <x:c r="P18" s="40"/>
      <x:c r="Q18" s="70"/>
      <x:c r="R18" s="40"/>
      <x:c r="S18" s="44"/>
      <x:c r="T18" s="89" t="str">
        <x:f>IF(OR(M18="",S18=""),"",M18*S18)</x:f>
      </x:c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</x:row>
    <x:row r="19">
      <x:c r="A19" s="7"/>
      <x:c r="B19" s="7"/>
      <x:c r="C19" s="40"/>
      <x:c r="D19" s="40"/>
      <x:c r="E19" s="70"/>
      <x:c r="F19" s="40"/>
      <x:c r="G19" s="40"/>
      <x:c r="H19" s="70"/>
      <x:c r="I19" s="40"/>
      <x:c r="J19" s="75"/>
      <x:c r="K19" s="75"/>
      <x:c r="L19" s="75"/>
      <x:c r="M19" s="83" t="str">
        <x:f>IF(OR(J19="",L19=""),"",J19*L19)</x:f>
      </x:c>
      <x:c r="N19" s="70"/>
      <x:c r="O19" s="70"/>
      <x:c r="P19" s="40"/>
      <x:c r="Q19" s="70"/>
      <x:c r="R19" s="40"/>
      <x:c r="S19" s="44"/>
      <x:c r="T19" s="89" t="str">
        <x:f>IF(OR(M19="",S19=""),"",M19*S19)</x:f>
      </x:c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</x:row>
    <x:row r="20">
      <x:c r="A20" s="7"/>
      <x:c r="B20" s="7"/>
      <x:c r="C20" s="40"/>
      <x:c r="D20" s="40"/>
      <x:c r="E20" s="70"/>
      <x:c r="F20" s="40"/>
      <x:c r="G20" s="40"/>
      <x:c r="H20" s="70"/>
      <x:c r="I20" s="40"/>
      <x:c r="J20" s="75"/>
      <x:c r="K20" s="75"/>
      <x:c r="L20" s="75"/>
      <x:c r="M20" s="83" t="str">
        <x:f>IF(OR(J20="",L20=""),"",J20*L20)</x:f>
      </x:c>
      <x:c r="N20" s="70"/>
      <x:c r="O20" s="70"/>
      <x:c r="P20" s="40"/>
      <x:c r="Q20" s="70"/>
      <x:c r="R20" s="40"/>
      <x:c r="S20" s="44"/>
      <x:c r="T20" s="89" t="str">
        <x:f>IF(OR(M20="",S20=""),"",M20*S20)</x:f>
      </x:c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</x:row>
    <x:row r="21">
      <x:c r="A21" s="7"/>
      <x:c r="B21" s="7"/>
      <x:c r="C21" s="40"/>
      <x:c r="D21" s="40"/>
      <x:c r="E21" s="70"/>
      <x:c r="F21" s="40"/>
      <x:c r="G21" s="40"/>
      <x:c r="H21" s="70"/>
      <x:c r="I21" s="40"/>
      <x:c r="J21" s="75"/>
      <x:c r="K21" s="75"/>
      <x:c r="L21" s="75"/>
      <x:c r="M21" s="83" t="str">
        <x:f>IF(OR(J21="",L21=""),"",J21*L21)</x:f>
      </x:c>
      <x:c r="N21" s="70"/>
      <x:c r="O21" s="70"/>
      <x:c r="P21" s="40"/>
      <x:c r="Q21" s="70"/>
      <x:c r="R21" s="40"/>
      <x:c r="S21" s="44"/>
      <x:c r="T21" s="89" t="str">
        <x:f>IF(OR(M21="",S21=""),"",M21*S21)</x:f>
      </x:c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</x:row>
    <x:row r="22">
      <x:c r="A22" s="7"/>
      <x:c r="B22" s="7"/>
      <x:c r="C22" s="40"/>
      <x:c r="D22" s="40"/>
      <x:c r="E22" s="70"/>
      <x:c r="F22" s="40"/>
      <x:c r="G22" s="40"/>
      <x:c r="H22" s="70"/>
      <x:c r="I22" s="40"/>
      <x:c r="J22" s="75"/>
      <x:c r="K22" s="75"/>
      <x:c r="L22" s="75"/>
      <x:c r="M22" s="83" t="str">
        <x:f>IF(OR(J22="",L22=""),"",J22*L22)</x:f>
      </x:c>
      <x:c r="N22" s="70"/>
      <x:c r="O22" s="70"/>
      <x:c r="P22" s="40"/>
      <x:c r="Q22" s="70"/>
      <x:c r="R22" s="40"/>
      <x:c r="S22" s="44"/>
      <x:c r="T22" s="89" t="str">
        <x:f>IF(OR(M22="",S22=""),"",M22*S22)</x:f>
      </x:c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</x:row>
    <x:row r="23">
      <x:c r="A23" s="7"/>
      <x:c r="B23" s="7"/>
      <x:c r="C23" s="40"/>
      <x:c r="D23" s="40"/>
      <x:c r="E23" s="70"/>
      <x:c r="F23" s="40"/>
      <x:c r="G23" s="40"/>
      <x:c r="H23" s="70"/>
      <x:c r="I23" s="40"/>
      <x:c r="J23" s="75"/>
      <x:c r="K23" s="75"/>
      <x:c r="L23" s="75"/>
      <x:c r="M23" s="83" t="str">
        <x:f>IF(OR(J23="",L23=""),"",J23*L23)</x:f>
      </x:c>
      <x:c r="N23" s="70"/>
      <x:c r="O23" s="70"/>
      <x:c r="P23" s="40"/>
      <x:c r="Q23" s="70"/>
      <x:c r="R23" s="40"/>
      <x:c r="S23" s="44"/>
      <x:c r="T23" s="89" t="str">
        <x:f>IF(OR(M23="",S23=""),"",M23*S23)</x:f>
      </x:c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</x:row>
    <x:row r="24">
      <x:c r="A24" s="7"/>
      <x:c r="B24" s="7"/>
      <x:c r="C24" s="40"/>
      <x:c r="D24" s="40"/>
      <x:c r="E24" s="70"/>
      <x:c r="F24" s="40"/>
      <x:c r="G24" s="40"/>
      <x:c r="H24" s="70"/>
      <x:c r="I24" s="40"/>
      <x:c r="J24" s="75"/>
      <x:c r="K24" s="75"/>
      <x:c r="L24" s="75"/>
      <x:c r="M24" s="83" t="str">
        <x:f>IF(OR(J24="",L24=""),"",J24*L24)</x:f>
      </x:c>
      <x:c r="N24" s="70"/>
      <x:c r="O24" s="70"/>
      <x:c r="P24" s="40"/>
      <x:c r="Q24" s="70"/>
      <x:c r="R24" s="40"/>
      <x:c r="S24" s="44"/>
      <x:c r="T24" s="89" t="str">
        <x:f>IF(OR(M24="",S24=""),"",M24*S24)</x:f>
      </x:c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</x:row>
    <x:row r="25">
      <x:c r="A25" s="7"/>
      <x:c r="B25" s="7"/>
      <x:c r="C25" s="31"/>
      <x:c r="D25" s="31"/>
      <x:c r="E25" s="33"/>
      <x:c r="F25" s="31"/>
      <x:c r="G25" s="31"/>
      <x:c r="H25" s="33"/>
      <x:c r="I25" s="31"/>
      <x:c r="J25" s="76"/>
      <x:c r="K25" s="76"/>
      <x:c r="L25" s="76"/>
      <x:c r="M25" s="84" t="str">
        <x:f>IF(OR(J25="",L25=""),"",J25*L25)</x:f>
      </x:c>
      <x:c r="N25" s="33"/>
      <x:c r="O25" s="33"/>
      <x:c r="P25" s="31"/>
      <x:c r="Q25" s="33"/>
      <x:c r="R25" s="31"/>
      <x:c r="S25" s="78"/>
      <x:c r="T25" s="90" t="str">
        <x:f>IF(OR(M25="",S25=""),"",M25*S25)</x:f>
      </x:c>
      <x:c r="U25" s="33"/>
      <x:c r="V25" s="33"/>
      <x:c r="W25" s="33"/>
      <x:c r="X25" s="33"/>
      <x:c r="Y25" s="33"/>
      <x:c r="Z25" s="33"/>
      <x:c r="AA25" s="33"/>
      <x:c r="AB25" s="33"/>
      <x:c r="AC25" s="33"/>
      <x:c r="AD25" s="33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6"/>
      <x:c r="AC27" s="6"/>
      <x:c r="AD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6"/>
      <x:c r="AC29" s="6"/>
      <x:c r="AD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6"/>
      <x:c r="AC31" s="6"/>
      <x:c r="AD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6"/>
      <x:c r="AC33" s="6"/>
      <x:c r="AD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6"/>
      <x:c r="AC35" s="6"/>
      <x:c r="AD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/>
      <x:c r="AD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6"/>
      <x:c r="AC45" s="6"/>
      <x:c r="AD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6"/>
      <x:c r="AC47" s="6"/>
      <x:c r="AD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6"/>
      <x:c r="AC49" s="6"/>
      <x:c r="AD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6"/>
      <x:c r="AC51" s="6"/>
      <x:c r="AD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6"/>
      <x:c r="AC53" s="6"/>
      <x:c r="AD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6"/>
      <x:c r="AC55" s="6"/>
      <x:c r="AD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6"/>
      <x:c r="AC56" s="6"/>
      <x:c r="AD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6"/>
      <x:c r="AC57" s="6"/>
      <x:c r="AD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6"/>
      <x:c r="AC58" s="6"/>
      <x:c r="AD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6"/>
      <x:c r="AC59" s="6"/>
      <x:c r="AD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6"/>
      <x:c r="AC60" s="6"/>
      <x:c r="AD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6"/>
      <x:c r="AC61" s="6"/>
      <x:c r="AD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6"/>
      <x:c r="AC62" s="6"/>
      <x:c r="AD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6"/>
      <x:c r="AC63" s="6"/>
      <x:c r="AD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6"/>
      <x:c r="AC64" s="6"/>
      <x:c r="AD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6"/>
      <x:c r="AC65" s="6"/>
      <x:c r="AD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6"/>
      <x:c r="AC66" s="6"/>
      <x:c r="AD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6"/>
      <x:c r="AC67" s="6"/>
      <x:c r="AD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6"/>
      <x:c r="AC68" s="6"/>
      <x:c r="AD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6"/>
      <x:c r="AC69" s="6"/>
      <x:c r="AD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6"/>
      <x:c r="AC70" s="6"/>
      <x:c r="AD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  <x:c r="AD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6"/>
      <x:c r="AC72" s="6"/>
      <x:c r="AD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6"/>
      <x:c r="AC73" s="6"/>
      <x:c r="AD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6"/>
      <x:c r="AC74" s="6"/>
      <x:c r="AD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6"/>
      <x:c r="AC75" s="6"/>
      <x:c r="AD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6"/>
      <x:c r="AC76" s="6"/>
      <x:c r="AD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6"/>
      <x:c r="AC77" s="6"/>
      <x:c r="AD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6"/>
      <x:c r="AC78" s="6"/>
      <x:c r="AD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6"/>
      <x:c r="AC79" s="6"/>
      <x:c r="AD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6"/>
      <x:c r="AC80" s="6"/>
      <x:c r="AD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6"/>
      <x:c r="AC81" s="6"/>
      <x:c r="AD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6"/>
      <x:c r="AC82" s="6"/>
      <x:c r="AD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6"/>
      <x:c r="AC83" s="6"/>
      <x:c r="AD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6"/>
      <x:c r="AC84" s="6"/>
      <x:c r="AD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6"/>
      <x:c r="AC85" s="6"/>
      <x:c r="AD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6"/>
      <x:c r="AC86" s="6"/>
      <x:c r="AD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6"/>
      <x:c r="AC87" s="6"/>
      <x:c r="AD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6"/>
      <x:c r="AC88" s="6"/>
      <x:c r="AD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6"/>
      <x:c r="AC89" s="6"/>
      <x:c r="AD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6"/>
      <x:c r="AC90" s="6"/>
      <x:c r="AD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6"/>
      <x:c r="AC91" s="6"/>
      <x:c r="AD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6"/>
      <x:c r="AC92" s="6"/>
      <x:c r="AD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6"/>
      <x:c r="AC93" s="6"/>
      <x:c r="AD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6"/>
      <x:c r="AC94" s="6"/>
      <x:c r="AD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6"/>
      <x:c r="AC95" s="6"/>
      <x:c r="AD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6"/>
      <x:c r="AC96" s="6"/>
      <x:c r="AD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6"/>
      <x:c r="AC97" s="6"/>
      <x:c r="AD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6"/>
      <x:c r="AC98" s="6"/>
      <x:c r="AD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6"/>
      <x:c r="AC99" s="6"/>
      <x:c r="AD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6"/>
      <x:c r="AD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6"/>
      <x:c r="AD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6"/>
      <x:c r="AD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6"/>
      <x:c r="AD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6"/>
      <x:c r="AD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6"/>
      <x:c r="AD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6"/>
      <x:c r="AD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6"/>
      <x:c r="AD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6"/>
      <x:c r="AD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6"/>
      <x:c r="AD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6"/>
      <x:c r="AD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6"/>
      <x:c r="AD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6"/>
      <x:c r="AD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6"/>
      <x:c r="AD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6"/>
      <x:c r="AD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6"/>
      <x:c r="AD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6"/>
      <x:c r="AD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6"/>
      <x:c r="AD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6"/>
      <x:c r="AD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6"/>
      <x:c r="AD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6"/>
      <x:c r="AD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6"/>
      <x:c r="AD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6"/>
      <x:c r="AD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6"/>
      <x:c r="AD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6"/>
      <x:c r="AD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6"/>
      <x:c r="AD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6"/>
      <x:c r="AD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6"/>
      <x:c r="AD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6"/>
      <x:c r="AD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6"/>
      <x:c r="AD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6"/>
      <x:c r="AD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6"/>
      <x:c r="AD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6"/>
      <x:c r="AD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6"/>
      <x:c r="AD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6"/>
      <x:c r="AD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6"/>
      <x:c r="AD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6"/>
      <x:c r="AD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6"/>
      <x:c r="AD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6"/>
      <x:c r="AD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6"/>
      <x:c r="AD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6"/>
      <x:c r="AD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6"/>
      <x:c r="AD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6"/>
      <x:c r="AD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6"/>
      <x:c r="AD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6"/>
      <x:c r="AD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6"/>
      <x:c r="AD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6"/>
      <x:c r="AD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6"/>
      <x:c r="AD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6"/>
      <x:c r="AD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6"/>
      <x:c r="AD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6"/>
      <x:c r="AD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6"/>
      <x:c r="AD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6"/>
      <x:c r="AD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6"/>
      <x:c r="AD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6"/>
      <x:c r="AD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6"/>
      <x:c r="AD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6"/>
      <x:c r="AD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6"/>
      <x:c r="AD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6"/>
      <x:c r="AD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6"/>
      <x:c r="AD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6"/>
      <x:c r="AD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6"/>
      <x:c r="AD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6"/>
      <x:c r="AD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6"/>
      <x:c r="AD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6"/>
      <x:c r="AD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6"/>
      <x:c r="AD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6"/>
      <x:c r="AD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6"/>
      <x:c r="AD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6"/>
      <x:c r="AD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6"/>
      <x:c r="AD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6"/>
      <x:c r="AD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6"/>
      <x:c r="AD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6"/>
      <x:c r="AD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6"/>
      <x:c r="AD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6"/>
      <x:c r="AD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6"/>
      <x:c r="AD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6"/>
      <x:c r="AD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6"/>
      <x:c r="AD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6"/>
      <x:c r="AD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6"/>
      <x:c r="AD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6"/>
      <x:c r="AD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6"/>
      <x:c r="AD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6"/>
      <x:c r="AD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6"/>
      <x:c r="AD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6"/>
      <x:c r="AD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6"/>
      <x:c r="AD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6"/>
      <x:c r="AD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6"/>
      <x:c r="AD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6"/>
      <x:c r="AD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6"/>
      <x:c r="AD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6"/>
      <x:c r="AD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6"/>
      <x:c r="AD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6"/>
      <x:c r="AD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6"/>
      <x:c r="AD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6"/>
      <x:c r="AD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6"/>
      <x:c r="AD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6"/>
      <x:c r="AD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6"/>
      <x:c r="AD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6"/>
      <x:c r="AD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6"/>
      <x:c r="AD200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2" hidden="0" customWidth="1"/>
    <x:col min="4" max="4" width="36" hidden="0" customWidth="1"/>
    <x:col min="5" max="5" width="54" hidden="0" customWidth="1"/>
    <x:col min="6" max="6" width="76" hidden="0" customWidth="1"/>
  </x:cols>
  <x:sheetData>
    <x:row r="1" ht="25" customHeight="1">
      <x:c r="A1" s="7"/>
      <x:c r="B1" s="7"/>
      <x:c r="C1" s="4" t="str">
        <x:v>Read the instrument before judging the headline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The same label can hide different obligors, drawdown conditions, security and cash timing. These are due-diligence prompts, not legal advice or claims about named transactions.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</x:row>
    <x:row r="5" ht="30" customHeight="1">
      <x:c r="A5" s="7"/>
      <x:c r="B5" s="7"/>
      <x:c r="C5" s="18" t="str">
        <x:v>Instrument</x:v>
      </x:c>
      <x:c r="D5" s="18" t="str">
        <x:v>Who receives / owes</x:v>
      </x:c>
      <x:c r="E5" s="18" t="str">
        <x:v>Typical cash or ownership claim</x:v>
      </x:c>
      <x:c r="F5" s="18" t="str">
        <x:v>Contract questions to resolve</x:v>
      </x:c>
      <x:c r="G5" s="6"/>
      <x:c r="H5" s="6"/>
      <x:c r="I5" s="6"/>
    </x:row>
    <x:row r="6">
      <x:c r="A6" s="7"/>
      <x:c r="B6" s="7"/>
      <x:c r="C6" s="23" t="str">
        <x:v>Ordinary / preferred equity</x:v>
      </x:c>
      <x:c r="D6" s="23" t="str">
        <x:v>Share issuer</x:v>
      </x:c>
      <x:c r="E6" s="23" t="str">
        <x:v>No scheduled principal; residual ownership and governance rights</x:v>
      </x:c>
      <x:c r="F6" s="23" t="str">
        <x:v>Class, valuation, liquidation preference, anti-dilution, option pool, pro-rata and exit waterfall</x:v>
      </x:c>
      <x:c r="G6" s="6"/>
      <x:c r="H6" s="6"/>
      <x:c r="I6" s="6"/>
    </x:row>
    <x:row r="7">
      <x:c r="A7" s="7"/>
      <x:c r="B7" s="7"/>
      <x:c r="C7" s="24" t="str">
        <x:v>Term loan / venture debt</x:v>
      </x:c>
      <x:c r="D7" s="24" t="str">
        <x:v>Borrower named in facility</x:v>
      </x:c>
      <x:c r="E7" s="24" t="str">
        <x:v>Interest and principal by schedule; possible warrants / covenants</x:v>
      </x:c>
      <x:c r="F7" s="24" t="str">
        <x:v>Draw conditions, maturity, rate, fees, security, covenants, default and currency</x:v>
      </x:c>
      <x:c r="G7" s="6"/>
      <x:c r="H7" s="6"/>
      <x:c r="I7" s="6"/>
    </x:row>
    <x:row r="8">
      <x:c r="A8" s="7"/>
      <x:c r="B8" s="7"/>
      <x:c r="C8" s="24" t="str">
        <x:v>Asset finance / lease</x:v>
      </x:c>
      <x:c r="D8" s="24" t="str">
        <x:v>Borrower or lessee; asset may secure claim</x:v>
      </x:c>
      <x:c r="E8" s="24" t="str">
        <x:v>Installments matched to asset use; repossession / lease obligations</x:v>
      </x:c>
      <x:c r="F8" s="24" t="str">
        <x:v>Useful life, residual value, maintenance, title, guarantees and early termination</x:v>
      </x:c>
      <x:c r="G8" s="6"/>
      <x:c r="H8" s="6"/>
      <x:c r="I8" s="6"/>
    </x:row>
    <x:row r="9">
      <x:c r="A9" s="7"/>
      <x:c r="B9" s="7"/>
      <x:c r="C9" s="24" t="str">
        <x:v>Receivables finance / securitization</x:v>
      </x:c>
      <x:c r="D9" s="24" t="str">
        <x:v>Originator, SPV or seller depending on structure</x:v>
      </x:c>
      <x:c r="E9" s="24" t="str">
        <x:v>Collection waterfall, reserves, servicing and recourse</x:v>
      </x:c>
      <x:c r="F9" s="24" t="str">
        <x:v>Eligible receivables, dilution, concentration, first-loss, trigger and collections control</x:v>
      </x:c>
      <x:c r="G9" s="6"/>
      <x:c r="H9" s="6"/>
      <x:c r="I9" s="6"/>
    </x:row>
    <x:row r="10">
      <x:c r="A10" s="7"/>
      <x:c r="B10" s="7"/>
      <x:c r="C10" s="24" t="str">
        <x:v>Convertible note / SAFE-like claim</x:v>
      </x:c>
      <x:c r="D10" s="24" t="str">
        <x:v>Issuer under governing contract</x:v>
      </x:c>
      <x:c r="E10" s="24" t="str">
        <x:v>Future equity conversion; note may also carry interest or maturity</x:v>
      </x:c>
      <x:c r="F10" s="24" t="str">
        <x:v>Cap, discount, interest, maturity, qualified round, conversion and sale treatment</x:v>
      </x:c>
      <x:c r="G10" s="6"/>
      <x:c r="H10" s="6"/>
      <x:c r="I10" s="6"/>
    </x:row>
    <x:row r="11">
      <x:c r="A11" s="7"/>
      <x:c r="B11" s="7"/>
      <x:c r="C11" s="24" t="str">
        <x:v>Grant / blended finance</x:v>
      </x:c>
      <x:c r="D11" s="24" t="str">
        <x:v>Recipient under grant agreement</x:v>
      </x:c>
      <x:c r="E11" s="24" t="str">
        <x:v>Restricted disbursement, milestones, audit and possible clawback</x:v>
      </x:c>
      <x:c r="F11" s="24" t="str">
        <x:v>Eligible cost, matching funds, milestone acceptance, timing and post-grant runway</x:v>
      </x:c>
      <x:c r="G11" s="6"/>
      <x:c r="H11" s="6"/>
      <x:c r="I11" s="6"/>
    </x:row>
    <x:row r="12">
      <x:c r="A12" s="7"/>
      <x:c r="B12" s="7"/>
      <x:c r="C12" s="24" t="str">
        <x:v>Supplier credit</x:v>
      </x:c>
      <x:c r="D12" s="24" t="str">
        <x:v>Purchasing company</x:v>
      </x:c>
      <x:c r="E12" s="24" t="str">
        <x:v>Payment deferral, discount loss or late charge</x:v>
      </x:c>
      <x:c r="F12" s="24" t="str">
        <x:v>Terms, concentration, continuity, price premium and due-date alignment</x:v>
      </x:c>
      <x:c r="G12" s="6"/>
      <x:c r="H12" s="6"/>
      <x:c r="I12" s="6"/>
    </x:row>
    <x:row r="13">
      <x:c r="A13" s="7"/>
      <x:c r="B13" s="7"/>
      <x:c r="C13" s="24" t="str">
        <x:v>Customer advance / deposit</x:v>
      </x:c>
      <x:c r="D13" s="24" t="str">
        <x:v>Service provider / seller</x:v>
      </x:c>
      <x:c r="E13" s="24" t="str">
        <x:v>Cash now with delivery, refund or performance obligation later</x:v>
      </x:c>
      <x:c r="F13" s="24" t="str">
        <x:v>Restricted balance, delivery date, cancellation, refund rights and customer concentration</x:v>
      </x:c>
      <x:c r="G13" s="6"/>
      <x:c r="H13" s="6"/>
      <x:c r="I13" s="6"/>
    </x:row>
    <x:row r="14">
      <x:c r="A14" s="7"/>
      <x:c r="B14" s="7"/>
      <x:c r="C14" s="25" t="str">
        <x:v>Secondary share sale</x:v>
      </x:c>
      <x:c r="D14" s="25" t="str">
        <x:v>Selling shareholder receives proceeds</x:v>
      </x:c>
      <x:c r="E14" s="25" t="str">
        <x:v>Ownership transfers; company may receive no new cash</x:v>
      </x:c>
      <x:c r="F14" s="25" t="str">
        <x:v>Separate primary and secondary amounts; identify issuer and seller precisely</x:v>
      </x:c>
      <x:c r="G14" s="6"/>
      <x:c r="H14" s="6"/>
      <x:c r="I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19" hidden="0" customWidth="1"/>
    <x:col min="5" max="5" width="19" hidden="0" customWidth="1"/>
    <x:col min="6" max="6" width="17" hidden="0" customWidth="1"/>
    <x:col min="7" max="7" width="20" hidden="0" customWidth="1"/>
    <x:col min="8" max="8" width="18" hidden="0" customWidth="1"/>
    <x:col min="9" max="9" width="20" hidden="0" customWidth="1"/>
    <x:col min="10" max="10" width="17" hidden="0" customWidth="1"/>
    <x:col min="11" max="11" width="19" hidden="0" customWidth="1"/>
    <x:col min="12" max="12" width="15" hidden="0" customWidth="1"/>
    <x:col min="13" max="13" width="18" hidden="0" customWidth="1"/>
    <x:col min="14" max="14" width="19" hidden="0" customWidth="1"/>
  </x:cols>
  <x:sheetData>
    <x:row r="1" ht="25" customHeight="1">
      <x:c r="A1" s="7"/>
      <x:c r="B1" s="7"/>
      <x:c r="C1" s="4" t="str">
        <x:v>Worked loan schedule and collection stress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7"/>
      <x:c r="B2" s="7"/>
      <x:c r="C2" s="5" t="str">
        <x:v>Hypothetical KSh100m equal-principal facility; 18% annual rate; 24 months. This example illustrates repayment timing, not a named company's actual terms.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A5" s="7"/>
      <x:c r="B5" s="7"/>
      <x:c r="C5" s="4" t="str">
        <x:v>Principal (KES)</x:v>
      </x:c>
      <x:c r="D5" s="93" t="n">
        <x:v>100000000</x:v>
      </x:c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>
      <x:c r="A6" s="7"/>
      <x:c r="B6" s="7"/>
      <x:c r="C6" s="4" t="str">
        <x:v>Base annual interest rate</x:v>
      </x:c>
      <x:c r="D6" s="94" t="n">
        <x:v>0.18</x:v>
      </x:c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7"/>
      <x:c r="B7" s="7"/>
      <x:c r="C7" s="4" t="str">
        <x:v>Tenor (months)</x:v>
      </x:c>
      <x:c r="D7" s="92" t="n">
        <x:v>24</x:v>
      </x:c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7"/>
      <x:c r="B8" s="7"/>
      <x:c r="C8" s="4" t="str">
        <x:v>Base monthly CFADS (KES)</x:v>
      </x:c>
      <x:c r="D8" s="93" t="n">
        <x:v>6200000</x:v>
      </x:c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7"/>
      <x:c r="B9" s="7"/>
      <x:c r="C9" s="4" t="str">
        <x:v>CFADS downside haircut</x:v>
      </x:c>
      <x:c r="D9" s="94" t="n">
        <x:v>0.2</x:v>
      </x:c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7"/>
      <x:c r="B10" s="7"/>
      <x:c r="C10" s="4" t="str">
        <x:v>Stress annual interest rate</x:v>
      </x:c>
      <x:c r="D10" s="94" t="n">
        <x:v>0.23</x:v>
      </x:c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7"/>
      <x:c r="B12" s="7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 ht="30" customHeight="1">
      <x:c r="A13" s="7"/>
      <x:c r="B13" s="7"/>
      <x:c r="C13" s="18" t="str">
        <x:v>Month</x:v>
      </x:c>
      <x:c r="D13" s="18" t="str">
        <x:v>Opening principal</x:v>
      </x:c>
      <x:c r="E13" s="18" t="str">
        <x:v>Scheduled principal</x:v>
      </x:c>
      <x:c r="F13" s="18" t="str">
        <x:v>Base interest</x:v>
      </x:c>
      <x:c r="G13" s="18" t="str">
        <x:v>Base debt service</x:v>
      </x:c>
      <x:c r="H13" s="18" t="str">
        <x:v>Stress interest</x:v>
      </x:c>
      <x:c r="I13" s="18" t="str">
        <x:v>Stress debt service</x:v>
      </x:c>
      <x:c r="J13" s="18" t="str">
        <x:v>Base CFADS</x:v>
      </x:c>
      <x:c r="K13" s="18" t="str">
        <x:v>Downside CFADS</x:v>
      </x:c>
      <x:c r="L13" s="18" t="str">
        <x:v>Base DSCR</x:v>
      </x:c>
      <x:c r="M13" s="18" t="str">
        <x:v>Downside DSCR</x:v>
      </x:c>
      <x:c r="N13" s="18" t="str">
        <x:v>Closing principal</x:v>
      </x:c>
    </x:row>
    <x:row r="14">
      <x:c r="A14" s="7"/>
      <x:c r="B14" s="7"/>
      <x:c r="C14" s="20" t="n">
        <x:v>1</x:v>
      </x:c>
      <x:c r="D14" s="36" t="n">
        <x:f>$D$5</x:f>
        <x:v>100000000</x:v>
      </x:c>
      <x:c r="E14" s="36" t="n">
        <x:f>IF(C14&lt;=$D$7,$D$5/$D$7,0)</x:f>
        <x:v>4166666.6666666665</x:v>
      </x:c>
      <x:c r="F14" s="36" t="n">
        <x:f>D14*$D$6/12</x:f>
        <x:v>1500000</x:v>
      </x:c>
      <x:c r="G14" s="36" t="n">
        <x:f>E14+F14</x:f>
        <x:v>5666666.666666666</x:v>
      </x:c>
      <x:c r="H14" s="36" t="n">
        <x:f>D14*$D$10/12</x:f>
        <x:v>1916666.6666666667</x:v>
      </x:c>
      <x:c r="I14" s="36" t="n">
        <x:f>E14+H14</x:f>
        <x:v>6083333.333333333</x:v>
      </x:c>
      <x:c r="J14" s="36" t="n">
        <x:f>$D$8</x:f>
        <x:v>6200000</x:v>
      </x:c>
      <x:c r="K14" s="36" t="n">
        <x:f>$D$8*(1-$D$9)</x:f>
        <x:v>4960000</x:v>
      </x:c>
      <x:c r="L14" s="96" t="n">
        <x:f>J14/G14</x:f>
        <x:v>1.0941176470588236</x:v>
      </x:c>
      <x:c r="M14" s="96" t="n">
        <x:f>K14/I14</x:f>
        <x:v>0.8153424657534247</x:v>
      </x:c>
      <x:c r="N14" s="20" t="n">
        <x:f>MAX(0,D14-E14)</x:f>
        <x:v>95833333.33333333</x:v>
      </x:c>
    </x:row>
    <x:row r="15">
      <x:c r="A15" s="7"/>
      <x:c r="B15" s="7"/>
      <x:c r="C15" s="21" t="n">
        <x:v>2</x:v>
      </x:c>
      <x:c r="D15" s="57" t="n">
        <x:f>N14</x:f>
        <x:v>95833333.33333333</x:v>
      </x:c>
      <x:c r="E15" s="57" t="n">
        <x:f>IF(C15&lt;=$D$7,$D$5/$D$7,0)</x:f>
        <x:v>4166666.6666666665</x:v>
      </x:c>
      <x:c r="F15" s="57" t="n">
        <x:f>D15*$D$6/12</x:f>
        <x:v>1437500</x:v>
      </x:c>
      <x:c r="G15" s="57" t="n">
        <x:f>E15+F15</x:f>
        <x:v>5604166.666666666</x:v>
      </x:c>
      <x:c r="H15" s="57" t="n">
        <x:f>D15*$D$10/12</x:f>
        <x:v>1836805.5555555557</x:v>
      </x:c>
      <x:c r="I15" s="57" t="n">
        <x:f>E15+H15</x:f>
        <x:v>6003472.222222222</x:v>
      </x:c>
      <x:c r="J15" s="57" t="n">
        <x:f>$D$8</x:f>
        <x:v>6200000</x:v>
      </x:c>
      <x:c r="K15" s="57" t="n">
        <x:f>$D$8*(1-$D$9)</x:f>
        <x:v>4960000</x:v>
      </x:c>
      <x:c r="L15" s="97" t="n">
        <x:f>J15/G15</x:f>
        <x:v>1.1063197026022307</x:v>
      </x:c>
      <x:c r="M15" s="97" t="n">
        <x:f>K15/I15</x:f>
        <x:v>0.8261885482938115</x:v>
      </x:c>
      <x:c r="N15" s="21" t="n">
        <x:f>MAX(0,D15-E15)</x:f>
        <x:v>91666666.66666666</x:v>
      </x:c>
    </x:row>
    <x:row r="16">
      <x:c r="A16" s="7"/>
      <x:c r="B16" s="7"/>
      <x:c r="C16" s="21" t="n">
        <x:v>3</x:v>
      </x:c>
      <x:c r="D16" s="57" t="n">
        <x:f>N15</x:f>
        <x:v>91666666.66666666</x:v>
      </x:c>
      <x:c r="E16" s="57" t="n">
        <x:f>IF(C16&lt;=$D$7,$D$5/$D$7,0)</x:f>
        <x:v>4166666.6666666665</x:v>
      </x:c>
      <x:c r="F16" s="57" t="n">
        <x:f>D16*$D$6/12</x:f>
        <x:v>1374999.9999999998</x:v>
      </x:c>
      <x:c r="G16" s="57" t="n">
        <x:f>E16+F16</x:f>
        <x:v>5541666.666666666</x:v>
      </x:c>
      <x:c r="H16" s="57" t="n">
        <x:f>D16*$D$10/12</x:f>
        <x:v>1756944.4444444443</x:v>
      </x:c>
      <x:c r="I16" s="57" t="n">
        <x:f>E16+H16</x:f>
        <x:v>5923611.111111111</x:v>
      </x:c>
      <x:c r="J16" s="57" t="n">
        <x:f>$D$8</x:f>
        <x:v>6200000</x:v>
      </x:c>
      <x:c r="K16" s="57" t="n">
        <x:f>$D$8*(1-$D$9)</x:f>
        <x:v>4960000</x:v>
      </x:c>
      <x:c r="L16" s="97" t="n">
        <x:f>J16/G16</x:f>
        <x:v>1.1187969924812031</x:v>
      </x:c>
      <x:c r="M16" s="97" t="n">
        <x:f>K16/I16</x:f>
        <x:v>0.8373270808909731</x:v>
      </x:c>
      <x:c r="N16" s="21" t="n">
        <x:f>MAX(0,D16-E16)</x:f>
        <x:v>87499999.99999999</x:v>
      </x:c>
    </x:row>
    <x:row r="17">
      <x:c r="A17" s="7"/>
      <x:c r="B17" s="7"/>
      <x:c r="C17" s="21" t="n">
        <x:v>4</x:v>
      </x:c>
      <x:c r="D17" s="57" t="n">
        <x:f>N16</x:f>
        <x:v>87499999.99999999</x:v>
      </x:c>
      <x:c r="E17" s="57" t="n">
        <x:f>IF(C17&lt;=$D$7,$D$5/$D$7,0)</x:f>
        <x:v>4166666.6666666665</x:v>
      </x:c>
      <x:c r="F17" s="57" t="n">
        <x:f>D17*$D$6/12</x:f>
        <x:v>1312499.9999999998</x:v>
      </x:c>
      <x:c r="G17" s="57" t="n">
        <x:f>E17+F17</x:f>
        <x:v>5479166.666666666</x:v>
      </x:c>
      <x:c r="H17" s="57" t="n">
        <x:f>D17*$D$10/12</x:f>
        <x:v>1677083.333333333</x:v>
      </x:c>
      <x:c r="I17" s="57" t="n">
        <x:f>E17+H17</x:f>
        <x:v>5843750</x:v>
      </x:c>
      <x:c r="J17" s="57" t="n">
        <x:f>$D$8</x:f>
        <x:v>6200000</x:v>
      </x:c>
      <x:c r="K17" s="57" t="n">
        <x:f>$D$8*(1-$D$9)</x:f>
        <x:v>4960000</x:v>
      </x:c>
      <x:c r="L17" s="97" t="n">
        <x:f>J17/G17</x:f>
        <x:v>1.1315589353612168</x:v>
      </x:c>
      <x:c r="M17" s="97" t="n">
        <x:f>K17/I17</x:f>
        <x:v>0.8487700534759358</x:v>
      </x:c>
      <x:c r="N17" s="21" t="n">
        <x:f>MAX(0,D17-E17)</x:f>
        <x:v>83333333.33333331</x:v>
      </x:c>
    </x:row>
    <x:row r="18">
      <x:c r="A18" s="7"/>
      <x:c r="B18" s="7"/>
      <x:c r="C18" s="21" t="n">
        <x:v>5</x:v>
      </x:c>
      <x:c r="D18" s="57" t="n">
        <x:f>N17</x:f>
        <x:v>83333333.33333331</x:v>
      </x:c>
      <x:c r="E18" s="57" t="n">
        <x:f>IF(C18&lt;=$D$7,$D$5/$D$7,0)</x:f>
        <x:v>4166666.6666666665</x:v>
      </x:c>
      <x:c r="F18" s="57" t="n">
        <x:f>D18*$D$6/12</x:f>
        <x:v>1249999.9999999998</x:v>
      </x:c>
      <x:c r="G18" s="57" t="n">
        <x:f>E18+F18</x:f>
        <x:v>5416666.666666666</x:v>
      </x:c>
      <x:c r="H18" s="57" t="n">
        <x:f>D18*$D$10/12</x:f>
        <x:v>1597222.222222222</x:v>
      </x:c>
      <x:c r="I18" s="57" t="n">
        <x:f>E18+H18</x:f>
        <x:v>5763888.888888888</x:v>
      </x:c>
      <x:c r="J18" s="57" t="n">
        <x:f>$D$8</x:f>
        <x:v>6200000</x:v>
      </x:c>
      <x:c r="K18" s="57" t="n">
        <x:f>$D$8*(1-$D$9)</x:f>
        <x:v>4960000</x:v>
      </x:c>
      <x:c r="L18" s="97" t="n">
        <x:f>J18/G18</x:f>
        <x:v>1.1446153846153848</x:v>
      </x:c>
      <x:c r="M18" s="97" t="n">
        <x:f>K18/I18</x:f>
        <x:v>0.8605301204819278</x:v>
      </x:c>
      <x:c r="N18" s="21" t="n">
        <x:f>MAX(0,D18-E18)</x:f>
        <x:v>79166666.66666664</x:v>
      </x:c>
    </x:row>
    <x:row r="19">
      <x:c r="A19" s="7"/>
      <x:c r="B19" s="7"/>
      <x:c r="C19" s="21" t="n">
        <x:v>6</x:v>
      </x:c>
      <x:c r="D19" s="57" t="n">
        <x:f>N18</x:f>
        <x:v>79166666.66666664</x:v>
      </x:c>
      <x:c r="E19" s="57" t="n">
        <x:f>IF(C19&lt;=$D$7,$D$5/$D$7,0)</x:f>
        <x:v>4166666.6666666665</x:v>
      </x:c>
      <x:c r="F19" s="57" t="n">
        <x:f>D19*$D$6/12</x:f>
        <x:v>1187499.9999999995</x:v>
      </x:c>
      <x:c r="G19" s="57" t="n">
        <x:f>E19+F19</x:f>
        <x:v>5354166.666666666</x:v>
      </x:c>
      <x:c r="H19" s="57" t="n">
        <x:f>D19*$D$10/12</x:f>
        <x:v>1517361.1111111108</x:v>
      </x:c>
      <x:c r="I19" s="57" t="n">
        <x:f>E19+H19</x:f>
        <x:v>5684027.777777777</x:v>
      </x:c>
      <x:c r="J19" s="57" t="n">
        <x:f>$D$8</x:f>
        <x:v>6200000</x:v>
      </x:c>
      <x:c r="K19" s="57" t="n">
        <x:f>$D$8*(1-$D$9)</x:f>
        <x:v>4960000</x:v>
      </x:c>
      <x:c r="L19" s="97" t="n">
        <x:f>J19/G19</x:f>
        <x:v>1.1579766536964982</x:v>
      </x:c>
      <x:c r="M19" s="97" t="n">
        <x:f>K19/I19</x:f>
        <x:v>0.8726206475259622</x:v>
      </x:c>
      <x:c r="N19" s="21" t="n">
        <x:f>MAX(0,D19-E19)</x:f>
        <x:v>74999999.99999997</x:v>
      </x:c>
    </x:row>
    <x:row r="20">
      <x:c r="A20" s="7"/>
      <x:c r="B20" s="7"/>
      <x:c r="C20" s="21" t="n">
        <x:v>7</x:v>
      </x:c>
      <x:c r="D20" s="57" t="n">
        <x:f>N19</x:f>
        <x:v>74999999.99999997</x:v>
      </x:c>
      <x:c r="E20" s="57" t="n">
        <x:f>IF(C20&lt;=$D$7,$D$5/$D$7,0)</x:f>
        <x:v>4166666.6666666665</x:v>
      </x:c>
      <x:c r="F20" s="57" t="n">
        <x:f>D20*$D$6/12</x:f>
        <x:v>1124999.9999999995</x:v>
      </x:c>
      <x:c r="G20" s="57" t="n">
        <x:f>E20+F20</x:f>
        <x:v>5291666.666666666</x:v>
      </x:c>
      <x:c r="H20" s="57" t="n">
        <x:f>D20*$D$10/12</x:f>
        <x:v>1437499.9999999993</x:v>
      </x:c>
      <x:c r="I20" s="57" t="n">
        <x:f>E20+H20</x:f>
        <x:v>5604166.666666666</x:v>
      </x:c>
      <x:c r="J20" s="57" t="n">
        <x:f>$D$8</x:f>
        <x:v>6200000</x:v>
      </x:c>
      <x:c r="K20" s="57" t="n">
        <x:f>$D$8*(1-$D$9)</x:f>
        <x:v>4960000</x:v>
      </x:c>
      <x:c r="L20" s="97" t="n">
        <x:f>J20/G20</x:f>
        <x:v>1.1716535433070867</x:v>
      </x:c>
      <x:c r="M20" s="97" t="n">
        <x:f>K20/I20</x:f>
        <x:v>0.8850557620817845</x:v>
      </x:c>
      <x:c r="N20" s="21" t="n">
        <x:f>MAX(0,D20-E20)</x:f>
        <x:v>70833333.3333333</x:v>
      </x:c>
    </x:row>
    <x:row r="21">
      <x:c r="A21" s="7"/>
      <x:c r="B21" s="7"/>
      <x:c r="C21" s="21" t="n">
        <x:v>8</x:v>
      </x:c>
      <x:c r="D21" s="57" t="n">
        <x:f>N20</x:f>
        <x:v>70833333.3333333</x:v>
      </x:c>
      <x:c r="E21" s="57" t="n">
        <x:f>IF(C21&lt;=$D$7,$D$5/$D$7,0)</x:f>
        <x:v>4166666.6666666665</x:v>
      </x:c>
      <x:c r="F21" s="57" t="n">
        <x:f>D21*$D$6/12</x:f>
        <x:v>1062499.9999999993</x:v>
      </x:c>
      <x:c r="G21" s="57" t="n">
        <x:f>E21+F21</x:f>
        <x:v>5229166.666666666</x:v>
      </x:c>
      <x:c r="H21" s="57" t="n">
        <x:f>D21*$D$10/12</x:f>
        <x:v>1357638.8888888883</x:v>
      </x:c>
      <x:c r="I21" s="57" t="n">
        <x:f>E21+H21</x:f>
        <x:v>5524305.555555555</x:v>
      </x:c>
      <x:c r="J21" s="57" t="n">
        <x:f>$D$8</x:f>
        <x:v>6200000</x:v>
      </x:c>
      <x:c r="K21" s="57" t="n">
        <x:f>$D$8*(1-$D$9)</x:f>
        <x:v>4960000</x:v>
      </x:c>
      <x:c r="L21" s="97" t="n">
        <x:f>J21/G21</x:f>
        <x:v>1.1856573705179285</x:v>
      </x:c>
      <x:c r="M21" s="97" t="n">
        <x:f>K21/I21</x:f>
        <x:v>0.8978504085480831</x:v>
      </x:c>
      <x:c r="N21" s="21" t="n">
        <x:f>MAX(0,D21-E21)</x:f>
        <x:v>66666666.666666634</x:v>
      </x:c>
    </x:row>
    <x:row r="22">
      <x:c r="A22" s="7"/>
      <x:c r="B22" s="7"/>
      <x:c r="C22" s="21" t="n">
        <x:v>9</x:v>
      </x:c>
      <x:c r="D22" s="57" t="n">
        <x:f>N21</x:f>
        <x:v>66666666.666666634</x:v>
      </x:c>
      <x:c r="E22" s="57" t="n">
        <x:f>IF(C22&lt;=$D$7,$D$5/$D$7,0)</x:f>
        <x:v>4166666.6666666665</x:v>
      </x:c>
      <x:c r="F22" s="57" t="n">
        <x:f>D22*$D$6/12</x:f>
        <x:v>999999.9999999995</x:v>
      </x:c>
      <x:c r="G22" s="57" t="n">
        <x:f>E22+F22</x:f>
        <x:v>5166666.666666666</x:v>
      </x:c>
      <x:c r="H22" s="57" t="n">
        <x:f>D22*$D$10/12</x:f>
        <x:v>1277777.7777777773</x:v>
      </x:c>
      <x:c r="I22" s="57" t="n">
        <x:f>E22+H22</x:f>
        <x:v>5444444.444444444</x:v>
      </x:c>
      <x:c r="J22" s="57" t="n">
        <x:f>$D$8</x:f>
        <x:v>6200000</x:v>
      </x:c>
      <x:c r="K22" s="57" t="n">
        <x:f>$D$8*(1-$D$9)</x:f>
        <x:v>4960000</x:v>
      </x:c>
      <x:c r="L22" s="97" t="n">
        <x:f>J22/G22</x:f>
        <x:v>1.2000000000000002</x:v>
      </x:c>
      <x:c r="M22" s="97" t="n">
        <x:f>K22/I22</x:f>
        <x:v>0.9110204081632653</x:v>
      </x:c>
      <x:c r="N22" s="21" t="n">
        <x:f>MAX(0,D22-E22)</x:f>
        <x:v>62499999.99999997</x:v>
      </x:c>
    </x:row>
    <x:row r="23">
      <x:c r="A23" s="7"/>
      <x:c r="B23" s="7"/>
      <x:c r="C23" s="21" t="n">
        <x:v>10</x:v>
      </x:c>
      <x:c r="D23" s="57" t="n">
        <x:f>N22</x:f>
        <x:v>62499999.99999997</x:v>
      </x:c>
      <x:c r="E23" s="57" t="n">
        <x:f>IF(C23&lt;=$D$7,$D$5/$D$7,0)</x:f>
        <x:v>4166666.6666666665</x:v>
      </x:c>
      <x:c r="F23" s="57" t="n">
        <x:f>D23*$D$6/12</x:f>
        <x:v>937499.9999999995</x:v>
      </x:c>
      <x:c r="G23" s="57" t="n">
        <x:f>E23+F23</x:f>
        <x:v>5104166.666666666</x:v>
      </x:c>
      <x:c r="H23" s="57" t="n">
        <x:f>D23*$D$10/12</x:f>
        <x:v>1197916.6666666663</x:v>
      </x:c>
      <x:c r="I23" s="57" t="n">
        <x:f>E23+H23</x:f>
        <x:v>5364583.333333333</x:v>
      </x:c>
      <x:c r="J23" s="57" t="n">
        <x:f>$D$8</x:f>
        <x:v>6200000</x:v>
      </x:c>
      <x:c r="K23" s="57" t="n">
        <x:f>$D$8*(1-$D$9)</x:f>
        <x:v>4960000</x:v>
      </x:c>
      <x:c r="L23" s="97" t="n">
        <x:f>J23/G23</x:f>
        <x:v>1.2146938775510205</x:v>
      </x:c>
      <x:c r="M23" s="97" t="n">
        <x:f>K23/I23</x:f>
        <x:v>0.9245825242718447</x:v>
      </x:c>
      <x:c r="N23" s="21" t="n">
        <x:f>MAX(0,D23-E23)</x:f>
        <x:v>58333333.333333306</x:v>
      </x:c>
    </x:row>
    <x:row r="24">
      <x:c r="A24" s="7"/>
      <x:c r="B24" s="7"/>
      <x:c r="C24" s="21" t="n">
        <x:v>11</x:v>
      </x:c>
      <x:c r="D24" s="57" t="n">
        <x:f>N23</x:f>
        <x:v>58333333.333333306</x:v>
      </x:c>
      <x:c r="E24" s="57" t="n">
        <x:f>IF(C24&lt;=$D$7,$D$5/$D$7,0)</x:f>
        <x:v>4166666.6666666665</x:v>
      </x:c>
      <x:c r="F24" s="57" t="n">
        <x:f>D24*$D$6/12</x:f>
        <x:v>874999.9999999995</x:v>
      </x:c>
      <x:c r="G24" s="57" t="n">
        <x:f>E24+F24</x:f>
        <x:v>5041666.666666666</x:v>
      </x:c>
      <x:c r="H24" s="57" t="n">
        <x:f>D24*$D$10/12</x:f>
        <x:v>1118055.555555555</x:v>
      </x:c>
      <x:c r="I24" s="57" t="n">
        <x:f>E24+H24</x:f>
        <x:v>5284722.222222222</x:v>
      </x:c>
      <x:c r="J24" s="57" t="n">
        <x:f>$D$8</x:f>
        <x:v>6200000</x:v>
      </x:c>
      <x:c r="K24" s="57" t="n">
        <x:f>$D$8*(1-$D$9)</x:f>
        <x:v>4960000</x:v>
      </x:c>
      <x:c r="L24" s="97" t="n">
        <x:f>J24/G24</x:f>
        <x:v>1.2297520661157026</x:v>
      </x:c>
      <x:c r="M24" s="97" t="n">
        <x:f>K24/I24</x:f>
        <x:v>0.9385545335085415</x:v>
      </x:c>
      <x:c r="N24" s="21" t="n">
        <x:f>MAX(0,D24-E24)</x:f>
        <x:v>54166666.66666664</x:v>
      </x:c>
    </x:row>
    <x:row r="25">
      <x:c r="A25" s="7"/>
      <x:c r="B25" s="7"/>
      <x:c r="C25" s="21" t="n">
        <x:v>12</x:v>
      </x:c>
      <x:c r="D25" s="57" t="n">
        <x:f>N24</x:f>
        <x:v>54166666.66666664</x:v>
      </x:c>
      <x:c r="E25" s="57" t="n">
        <x:f>IF(C25&lt;=$D$7,$D$5/$D$7,0)</x:f>
        <x:v>4166666.6666666665</x:v>
      </x:c>
      <x:c r="F25" s="57" t="n">
        <x:f>D25*$D$6/12</x:f>
        <x:v>812499.9999999995</x:v>
      </x:c>
      <x:c r="G25" s="57" t="n">
        <x:f>E25+F25</x:f>
        <x:v>4979166.666666666</x:v>
      </x:c>
      <x:c r="H25" s="57" t="n">
        <x:f>D25*$D$10/12</x:f>
        <x:v>1038194.444444444</x:v>
      </x:c>
      <x:c r="I25" s="57" t="n">
        <x:f>E25+H25</x:f>
        <x:v>5204861.11111111</x:v>
      </x:c>
      <x:c r="J25" s="57" t="n">
        <x:f>$D$8</x:f>
        <x:v>6200000</x:v>
      </x:c>
      <x:c r="K25" s="57" t="n">
        <x:f>$D$8*(1-$D$9)</x:f>
        <x:v>4960000</x:v>
      </x:c>
      <x:c r="L25" s="97" t="n">
        <x:f>J25/G25</x:f>
        <x:v>1.2451882845188287</x:v>
      </x:c>
      <x:c r="M25" s="97" t="n">
        <x:f>K25/I25</x:f>
        <x:v>0.9529553035356907</x:v>
      </x:c>
      <x:c r="N25" s="21" t="n">
        <x:f>MAX(0,D25-E25)</x:f>
        <x:v>49999999.99999998</x:v>
      </x:c>
    </x:row>
    <x:row r="26">
      <x:c r="A26" s="7"/>
      <x:c r="B26" s="7"/>
      <x:c r="C26" s="21" t="n">
        <x:v>13</x:v>
      </x:c>
      <x:c r="D26" s="57" t="n">
        <x:f>N25</x:f>
        <x:v>49999999.99999998</x:v>
      </x:c>
      <x:c r="E26" s="57" t="n">
        <x:f>IF(C26&lt;=$D$7,$D$5/$D$7,0)</x:f>
        <x:v>4166666.6666666665</x:v>
      </x:c>
      <x:c r="F26" s="57" t="n">
        <x:f>D26*$D$6/12</x:f>
        <x:v>749999.9999999997</x:v>
      </x:c>
      <x:c r="G26" s="57" t="n">
        <x:f>E26+F26</x:f>
        <x:v>4916666.666666666</x:v>
      </x:c>
      <x:c r="H26" s="57" t="n">
        <x:f>D26*$D$10/12</x:f>
        <x:v>958333.333333333</x:v>
      </x:c>
      <x:c r="I26" s="57" t="n">
        <x:f>E26+H26</x:f>
        <x:v>5125000</x:v>
      </x:c>
      <x:c r="J26" s="57" t="n">
        <x:f>$D$8</x:f>
        <x:v>6200000</x:v>
      </x:c>
      <x:c r="K26" s="57" t="n">
        <x:f>$D$8*(1-$D$9)</x:f>
        <x:v>4960000</x:v>
      </x:c>
      <x:c r="L26" s="97" t="n">
        <x:f>J26/G26</x:f>
        <x:v>1.2610169491525425</x:v>
      </x:c>
      <x:c r="M26" s="97" t="n">
        <x:f>K26/I26</x:f>
        <x:v>0.9678048780487805</x:v>
      </x:c>
      <x:c r="N26" s="21" t="n">
        <x:f>MAX(0,D26-E26)</x:f>
        <x:v>45833333.33333331</x:v>
      </x:c>
    </x:row>
    <x:row r="27">
      <x:c r="A27" s="7"/>
      <x:c r="B27" s="7"/>
      <x:c r="C27" s="21" t="n">
        <x:v>14</x:v>
      </x:c>
      <x:c r="D27" s="57" t="n">
        <x:f>N26</x:f>
        <x:v>45833333.33333331</x:v>
      </x:c>
      <x:c r="E27" s="57" t="n">
        <x:f>IF(C27&lt;=$D$7,$D$5/$D$7,0)</x:f>
        <x:v>4166666.6666666665</x:v>
      </x:c>
      <x:c r="F27" s="57" t="n">
        <x:f>D27*$D$6/12</x:f>
        <x:v>687499.9999999997</x:v>
      </x:c>
      <x:c r="G27" s="57" t="n">
        <x:f>E27+F27</x:f>
        <x:v>4854166.666666666</x:v>
      </x:c>
      <x:c r="H27" s="57" t="n">
        <x:f>D27*$D$10/12</x:f>
        <x:v>878472.2222222219</x:v>
      </x:c>
      <x:c r="I27" s="57" t="n">
        <x:f>E27+H27</x:f>
        <x:v>5045138.888888888</x:v>
      </x:c>
      <x:c r="J27" s="57" t="n">
        <x:f>$D$8</x:f>
        <x:v>6200000</x:v>
      </x:c>
      <x:c r="K27" s="57" t="n">
        <x:f>$D$8*(1-$D$9)</x:f>
        <x:v>4960000</x:v>
      </x:c>
      <x:c r="L27" s="97" t="n">
        <x:f>J27/G27</x:f>
        <x:v>1.2772532188841204</x:v>
      </x:c>
      <x:c r="M27" s="97" t="n">
        <x:f>K27/I27</x:f>
        <x:v>0.9831245698554716</x:v>
      </x:c>
      <x:c r="N27" s="21" t="n">
        <x:f>MAX(0,D27-E27)</x:f>
        <x:v>41666666.66666665</x:v>
      </x:c>
    </x:row>
    <x:row r="28">
      <x:c r="A28" s="7"/>
      <x:c r="B28" s="7"/>
      <x:c r="C28" s="21" t="n">
        <x:v>15</x:v>
      </x:c>
      <x:c r="D28" s="57" t="n">
        <x:f>N27</x:f>
        <x:v>41666666.66666665</x:v>
      </x:c>
      <x:c r="E28" s="57" t="n">
        <x:f>IF(C28&lt;=$D$7,$D$5/$D$7,0)</x:f>
        <x:v>4166666.6666666665</x:v>
      </x:c>
      <x:c r="F28" s="57" t="n">
        <x:f>D28*$D$6/12</x:f>
        <x:v>624999.9999999997</x:v>
      </x:c>
      <x:c r="G28" s="57" t="n">
        <x:f>E28+F28</x:f>
        <x:v>4791666.666666666</x:v>
      </x:c>
      <x:c r="H28" s="57" t="n">
        <x:f>D28*$D$10/12</x:f>
        <x:v>798611.1111111109</x:v>
      </x:c>
      <x:c r="I28" s="57" t="n">
        <x:f>E28+H28</x:f>
        <x:v>4965277.777777777</x:v>
      </x:c>
      <x:c r="J28" s="57" t="n">
        <x:f>$D$8</x:f>
        <x:v>6200000</x:v>
      </x:c>
      <x:c r="K28" s="57" t="n">
        <x:f>$D$8*(1-$D$9)</x:f>
        <x:v>4960000</x:v>
      </x:c>
      <x:c r="L28" s="97" t="n">
        <x:f>J28/G28</x:f>
        <x:v>1.293913043478261</x:v>
      </x:c>
      <x:c r="M28" s="97" t="n">
        <x:f>K28/I28</x:f>
        <x:v>0.9989370629370631</x:v>
      </x:c>
      <x:c r="N28" s="21" t="n">
        <x:f>MAX(0,D28-E28)</x:f>
        <x:v>37499999.999999985</x:v>
      </x:c>
    </x:row>
    <x:row r="29">
      <x:c r="A29" s="7"/>
      <x:c r="B29" s="7"/>
      <x:c r="C29" s="21" t="n">
        <x:v>16</x:v>
      </x:c>
      <x:c r="D29" s="57" t="n">
        <x:f>N28</x:f>
        <x:v>37499999.999999985</x:v>
      </x:c>
      <x:c r="E29" s="57" t="n">
        <x:f>IF(C29&lt;=$D$7,$D$5/$D$7,0)</x:f>
        <x:v>4166666.6666666665</x:v>
      </x:c>
      <x:c r="F29" s="57" t="n">
        <x:f>D29*$D$6/12</x:f>
        <x:v>562499.9999999998</x:v>
      </x:c>
      <x:c r="G29" s="57" t="n">
        <x:f>E29+F29</x:f>
        <x:v>4729166.666666666</x:v>
      </x:c>
      <x:c r="H29" s="57" t="n">
        <x:f>D29*$D$10/12</x:f>
        <x:v>718749.9999999997</x:v>
      </x:c>
      <x:c r="I29" s="57" t="n">
        <x:f>E29+H29</x:f>
        <x:v>4885416.666666666</x:v>
      </x:c>
      <x:c r="J29" s="57" t="n">
        <x:f>$D$8</x:f>
        <x:v>6200000</x:v>
      </x:c>
      <x:c r="K29" s="57" t="n">
        <x:f>$D$8*(1-$D$9)</x:f>
        <x:v>4960000</x:v>
      </x:c>
      <x:c r="L29" s="97" t="n">
        <x:f>J29/G29</x:f>
        <x:v>1.311013215859031</x:v>
      </x:c>
      <x:c r="M29" s="97" t="n">
        <x:f>K29/I29</x:f>
        <x:v>1.015266524520256</x:v>
      </x:c>
      <x:c r="N29" s="21" t="n">
        <x:f>MAX(0,D29-E29)</x:f>
        <x:v>33333333.333333317</x:v>
      </x:c>
    </x:row>
    <x:row r="30">
      <x:c r="A30" s="7"/>
      <x:c r="B30" s="7"/>
      <x:c r="C30" s="21" t="n">
        <x:v>17</x:v>
      </x:c>
      <x:c r="D30" s="57" t="n">
        <x:f>N29</x:f>
        <x:v>33333333.333333317</x:v>
      </x:c>
      <x:c r="E30" s="57" t="n">
        <x:f>IF(C30&lt;=$D$7,$D$5/$D$7,0)</x:f>
        <x:v>4166666.6666666665</x:v>
      </x:c>
      <x:c r="F30" s="57" t="n">
        <x:f>D30*$D$6/12</x:f>
        <x:v>499999.99999999977</x:v>
      </x:c>
      <x:c r="G30" s="57" t="n">
        <x:f>E30+F30</x:f>
        <x:v>4666666.666666666</x:v>
      </x:c>
      <x:c r="H30" s="57" t="n">
        <x:f>D30*$D$10/12</x:f>
        <x:v>638888.8888888886</x:v>
      </x:c>
      <x:c r="I30" s="57" t="n">
        <x:f>E30+H30</x:f>
        <x:v>4805555.555555555</x:v>
      </x:c>
      <x:c r="J30" s="57" t="n">
        <x:f>$D$8</x:f>
        <x:v>6200000</x:v>
      </x:c>
      <x:c r="K30" s="57" t="n">
        <x:f>$D$8*(1-$D$9)</x:f>
        <x:v>4960000</x:v>
      </x:c>
      <x:c r="L30" s="97" t="n">
        <x:f>J30/G30</x:f>
        <x:v>1.3285714285714287</x:v>
      </x:c>
      <x:c r="M30" s="97" t="n">
        <x:f>K30/I30</x:f>
        <x:v>1.0321387283236996</x:v>
      </x:c>
      <x:c r="N30" s="21" t="n">
        <x:f>MAX(0,D30-E30)</x:f>
        <x:v>29166666.66666665</x:v>
      </x:c>
    </x:row>
    <x:row r="31">
      <x:c r="A31" s="7"/>
      <x:c r="B31" s="7"/>
      <x:c r="C31" s="21" t="n">
        <x:v>18</x:v>
      </x:c>
      <x:c r="D31" s="57" t="n">
        <x:f>N30</x:f>
        <x:v>29166666.66666665</x:v>
      </x:c>
      <x:c r="E31" s="57" t="n">
        <x:f>IF(C31&lt;=$D$7,$D$5/$D$7,0)</x:f>
        <x:v>4166666.6666666665</x:v>
      </x:c>
      <x:c r="F31" s="57" t="n">
        <x:f>D31*$D$6/12</x:f>
        <x:v>437499.9999999997</x:v>
      </x:c>
      <x:c r="G31" s="57" t="n">
        <x:f>E31+F31</x:f>
        <x:v>4604166.666666666</x:v>
      </x:c>
      <x:c r="H31" s="57" t="n">
        <x:f>D31*$D$10/12</x:f>
        <x:v>559027.7777777774</x:v>
      </x:c>
      <x:c r="I31" s="57" t="n">
        <x:f>E31+H31</x:f>
        <x:v>4725694.444444444</x:v>
      </x:c>
      <x:c r="J31" s="57" t="n">
        <x:f>$D$8</x:f>
        <x:v>6200000</x:v>
      </x:c>
      <x:c r="K31" s="57" t="n">
        <x:f>$D$8*(1-$D$9)</x:f>
        <x:v>4960000</x:v>
      </x:c>
      <x:c r="L31" s="97" t="n">
        <x:f>J31/G31</x:f>
        <x:v>1.346606334841629</x:v>
      </x:c>
      <x:c r="M31" s="97" t="n">
        <x:f>K31/I31</x:f>
        <x:v>1.049581190301249</x:v>
      </x:c>
      <x:c r="N31" s="21" t="n">
        <x:f>MAX(0,D31-E31)</x:f>
        <x:v>24999999.99999998</x:v>
      </x:c>
    </x:row>
    <x:row r="32">
      <x:c r="A32" s="7"/>
      <x:c r="B32" s="7"/>
      <x:c r="C32" s="21" t="n">
        <x:v>19</x:v>
      </x:c>
      <x:c r="D32" s="57" t="n">
        <x:f>N31</x:f>
        <x:v>24999999.99999998</x:v>
      </x:c>
      <x:c r="E32" s="57" t="n">
        <x:f>IF(C32&lt;=$D$7,$D$5/$D$7,0)</x:f>
        <x:v>4166666.6666666665</x:v>
      </x:c>
      <x:c r="F32" s="57" t="n">
        <x:f>D32*$D$6/12</x:f>
        <x:v>374999.9999999997</x:v>
      </x:c>
      <x:c r="G32" s="57" t="n">
        <x:f>E32+F32</x:f>
        <x:v>4541666.666666666</x:v>
      </x:c>
      <x:c r="H32" s="57" t="n">
        <x:f>D32*$D$10/12</x:f>
        <x:v>479166.66666666634</x:v>
      </x:c>
      <x:c r="I32" s="57" t="n">
        <x:f>E32+H32</x:f>
        <x:v>4645833.333333333</x:v>
      </x:c>
      <x:c r="J32" s="57" t="n">
        <x:f>$D$8</x:f>
        <x:v>6200000</x:v>
      </x:c>
      <x:c r="K32" s="57" t="n">
        <x:f>$D$8*(1-$D$9)</x:f>
        <x:v>4960000</x:v>
      </x:c>
      <x:c r="L32" s="97" t="n">
        <x:f>J32/G32</x:f>
        <x:v>1.3651376146788992</x:v>
      </x:c>
      <x:c r="M32" s="97" t="n">
        <x:f>K32/I32</x:f>
        <x:v>1.0676233183856503</x:v>
      </x:c>
      <x:c r="N32" s="21" t="n">
        <x:f>MAX(0,D32-E32)</x:f>
        <x:v>20833333.333333313</x:v>
      </x:c>
    </x:row>
    <x:row r="33">
      <x:c r="A33" s="7"/>
      <x:c r="B33" s="7"/>
      <x:c r="C33" s="21" t="n">
        <x:v>20</x:v>
      </x:c>
      <x:c r="D33" s="57" t="n">
        <x:f>N32</x:f>
        <x:v>20833333.333333313</x:v>
      </x:c>
      <x:c r="E33" s="57" t="n">
        <x:f>IF(C33&lt;=$D$7,$D$5/$D$7,0)</x:f>
        <x:v>4166666.6666666665</x:v>
      </x:c>
      <x:c r="F33" s="57" t="n">
        <x:f>D33*$D$6/12</x:f>
        <x:v>312499.9999999997</x:v>
      </x:c>
      <x:c r="G33" s="57" t="n">
        <x:f>E33+F33</x:f>
        <x:v>4479166.666666666</x:v>
      </x:c>
      <x:c r="H33" s="57" t="n">
        <x:f>D33*$D$10/12</x:f>
        <x:v>399305.5555555552</x:v>
      </x:c>
      <x:c r="I33" s="57" t="n">
        <x:f>E33+H33</x:f>
        <x:v>4565972.222222222</x:v>
      </x:c>
      <x:c r="J33" s="57" t="n">
        <x:f>$D$8</x:f>
        <x:v>6200000</x:v>
      </x:c>
      <x:c r="K33" s="57" t="n">
        <x:f>$D$8*(1-$D$9)</x:f>
        <x:v>4960000</x:v>
      </x:c>
      <x:c r="L33" s="97" t="n">
        <x:f>J33/G33</x:f>
        <x:v>1.384186046511628</x:v>
      </x:c>
      <x:c r="M33" s="97" t="n">
        <x:f>K33/I33</x:f>
        <x:v>1.0862965779467681</x:v>
      </x:c>
      <x:c r="N33" s="21" t="n">
        <x:f>MAX(0,D33-E33)</x:f>
        <x:v>16666666.666666647</x:v>
      </x:c>
    </x:row>
    <x:row r="34">
      <x:c r="A34" s="7"/>
      <x:c r="B34" s="7"/>
      <x:c r="C34" s="21" t="n">
        <x:v>21</x:v>
      </x:c>
      <x:c r="D34" s="57" t="n">
        <x:f>N33</x:f>
        <x:v>16666666.666666647</x:v>
      </x:c>
      <x:c r="E34" s="57" t="n">
        <x:f>IF(C34&lt;=$D$7,$D$5/$D$7,0)</x:f>
        <x:v>4166666.6666666665</x:v>
      </x:c>
      <x:c r="F34" s="57" t="n">
        <x:f>D34*$D$6/12</x:f>
        <x:v>249999.99999999968</x:v>
      </x:c>
      <x:c r="G34" s="57" t="n">
        <x:f>E34+F34</x:f>
        <x:v>4416666.666666666</x:v>
      </x:c>
      <x:c r="H34" s="57" t="n">
        <x:f>D34*$D$10/12</x:f>
        <x:v>319444.4444444441</x:v>
      </x:c>
      <x:c r="I34" s="57" t="n">
        <x:f>E34+H34</x:f>
        <x:v>4486111.111111111</x:v>
      </x:c>
      <x:c r="J34" s="57" t="n">
        <x:f>$D$8</x:f>
        <x:v>6200000</x:v>
      </x:c>
      <x:c r="K34" s="57" t="n">
        <x:f>$D$8*(1-$D$9)</x:f>
        <x:v>4960000</x:v>
      </x:c>
      <x:c r="L34" s="97" t="n">
        <x:f>J34/G34</x:f>
        <x:v>1.4037735849056605</x:v>
      </x:c>
      <x:c r="M34" s="97" t="n">
        <x:f>K34/I34</x:f>
        <x:v>1.1056346749226007</x:v>
      </x:c>
      <x:c r="N34" s="21" t="n">
        <x:f>MAX(0,D34-E34)</x:f>
        <x:v>12499999.999999981</x:v>
      </x:c>
    </x:row>
    <x:row r="35">
      <x:c r="A35" s="7"/>
      <x:c r="B35" s="7"/>
      <x:c r="C35" s="21" t="n">
        <x:v>22</x:v>
      </x:c>
      <x:c r="D35" s="57" t="n">
        <x:f>N34</x:f>
        <x:v>12499999.999999981</x:v>
      </x:c>
      <x:c r="E35" s="57" t="n">
        <x:f>IF(C35&lt;=$D$7,$D$5/$D$7,0)</x:f>
        <x:v>4166666.6666666665</x:v>
      </x:c>
      <x:c r="F35" s="57" t="n">
        <x:f>D35*$D$6/12</x:f>
        <x:v>187499.99999999974</x:v>
      </x:c>
      <x:c r="G35" s="57" t="n">
        <x:f>E35+F35</x:f>
        <x:v>4354166.666666666</x:v>
      </x:c>
      <x:c r="H35" s="57" t="n">
        <x:f>D35*$D$10/12</x:f>
        <x:v>239583.333333333</x:v>
      </x:c>
      <x:c r="I35" s="57" t="n">
        <x:f>E35+H35</x:f>
        <x:v>4406249.999999999</x:v>
      </x:c>
      <x:c r="J35" s="57" t="n">
        <x:f>$D$8</x:f>
        <x:v>6200000</x:v>
      </x:c>
      <x:c r="K35" s="57" t="n">
        <x:f>$D$8*(1-$D$9)</x:f>
        <x:v>4960000</x:v>
      </x:c>
      <x:c r="L35" s="97" t="n">
        <x:f>J35/G35</x:f>
        <x:v>1.4239234449760767</x:v>
      </x:c>
      <x:c r="M35" s="97" t="n">
        <x:f>K35/I35</x:f>
        <x:v>1.1256737588652486</x:v>
      </x:c>
      <x:c r="N35" s="21" t="n">
        <x:f>MAX(0,D35-E35)</x:f>
        <x:v>8333333.333333315</x:v>
      </x:c>
    </x:row>
    <x:row r="36">
      <x:c r="A36" s="7"/>
      <x:c r="B36" s="7"/>
      <x:c r="C36" s="21" t="n">
        <x:v>23</x:v>
      </x:c>
      <x:c r="D36" s="57" t="n">
        <x:f>N35</x:f>
        <x:v>8333333.333333315</x:v>
      </x:c>
      <x:c r="E36" s="57" t="n">
        <x:f>IF(C36&lt;=$D$7,$D$5/$D$7,0)</x:f>
        <x:v>4166666.6666666665</x:v>
      </x:c>
      <x:c r="F36" s="57" t="n">
        <x:f>D36*$D$6/12</x:f>
        <x:v>124999.99999999972</x:v>
      </x:c>
      <x:c r="G36" s="57" t="n">
        <x:f>E36+F36</x:f>
        <x:v>4291666.666666666</x:v>
      </x:c>
      <x:c r="H36" s="57" t="n">
        <x:f>D36*$D$10/12</x:f>
        <x:v>159722.22222222187</x:v>
      </x:c>
      <x:c r="I36" s="57" t="n">
        <x:f>E36+H36</x:f>
        <x:v>4326388.888888888</x:v>
      </x:c>
      <x:c r="J36" s="57" t="n">
        <x:f>$D$8</x:f>
        <x:v>6200000</x:v>
      </x:c>
      <x:c r="K36" s="57" t="n">
        <x:f>$D$8*(1-$D$9)</x:f>
        <x:v>4960000</x:v>
      </x:c>
      <x:c r="L36" s="97" t="n">
        <x:f>J36/G36</x:f>
        <x:v>1.4446601941747574</x:v>
      </x:c>
      <x:c r="M36" s="97" t="n">
        <x:f>K36/I36</x:f>
        <x:v>1.1464526484751205</x:v>
      </x:c>
      <x:c r="N36" s="21" t="n">
        <x:f>MAX(0,D36-E36)</x:f>
        <x:v>4166666.666666649</x:v>
      </x:c>
    </x:row>
    <x:row r="37">
      <x:c r="A37" s="7"/>
      <x:c r="B37" s="7"/>
      <x:c r="C37" s="22" t="n">
        <x:v>24</x:v>
      </x:c>
      <x:c r="D37" s="37" t="n">
        <x:f>N36</x:f>
        <x:v>4166666.666666649</x:v>
      </x:c>
      <x:c r="E37" s="37" t="n">
        <x:f>IF(C37&lt;=$D$7,$D$5/$D$7,0)</x:f>
        <x:v>4166666.6666666665</x:v>
      </x:c>
      <x:c r="F37" s="37" t="n">
        <x:f>D37*$D$6/12</x:f>
        <x:v>62499.99999999973</x:v>
      </x:c>
      <x:c r="G37" s="37" t="n">
        <x:f>E37+F37</x:f>
        <x:v>4229166.666666666</x:v>
      </x:c>
      <x:c r="H37" s="37" t="n">
        <x:f>D37*$D$10/12</x:f>
        <x:v>79861.11111111077</x:v>
      </x:c>
      <x:c r="I37" s="37" t="n">
        <x:f>E37+H37</x:f>
        <x:v>4246527.777777777</x:v>
      </x:c>
      <x:c r="J37" s="37" t="n">
        <x:f>$D$8</x:f>
        <x:v>6200000</x:v>
      </x:c>
      <x:c r="K37" s="37" t="n">
        <x:f>$D$8*(1-$D$9)</x:f>
        <x:v>4960000</x:v>
      </x:c>
      <x:c r="L37" s="98" t="n">
        <x:f>J37/G37</x:f>
        <x:v>1.466009852216749</x:v>
      </x:c>
      <x:c r="M37" s="98" t="n">
        <x:f>K37/I37</x:f>
        <x:v>1.1680130825838104</x:v>
      </x:c>
      <x:c r="N37" s="22" t="n">
        <x:f>MAX(0,D37-E37)</x:f>
        <x:v>0</x:v>
      </x:c>
    </x:row>
    <x:row r="38">
      <x:c r="A38" s="7"/>
      <x:c r="B38" s="7"/>
      <x:c r="C38" s="101" t="str">
        <x:v>Total / final month</x:v>
      </x:c>
      <x:c r="D38" s="102"/>
      <x:c r="E38" s="102" t="n">
        <x:f>SUM(E14:E37)</x:f>
        <x:v>100000000.00000001</x:v>
      </x:c>
      <x:c r="F38" s="102" t="n">
        <x:f>SUM(F14:F37)</x:f>
        <x:v>18750000</x:v>
      </x:c>
      <x:c r="G38" s="102" t="n">
        <x:f>SUM(G14:G37)</x:f>
        <x:v>118750000.00000003</x:v>
      </x:c>
      <x:c r="H38" s="102" t="n">
        <x:f>SUM(H14:H37)</x:f>
        <x:v>23958333.333333325</x:v>
      </x:c>
      <x:c r="I38" s="102" t="n">
        <x:f>SUM(I14:I37)</x:f>
        <x:v>123958333.33333333</x:v>
      </x:c>
      <x:c r="J38" s="101"/>
      <x:c r="K38" s="101"/>
      <x:c r="L38" s="103" t="n">
        <x:f>MIN(L14:L37)</x:f>
        <x:v>1.0941176470588236</x:v>
      </x:c>
      <x:c r="M38" s="103" t="n">
        <x:f>MIN(M14:M37)</x:f>
        <x:v>0.8153424657534247</x:v>
      </x:c>
      <x:c r="N38" s="101" t="n">
        <x:f>N37</x:f>
        <x:v>0</x:v>
      </x:c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0" hidden="0" customWidth="1"/>
    <x:col min="5" max="5" width="22" hidden="0" customWidth="1"/>
    <x:col min="6" max="6" width="20" hidden="0" customWidth="1"/>
    <x:col min="7" max="7" width="21" hidden="0" customWidth="1"/>
    <x:col min="8" max="8" width="26" hidden="0" customWidth="1"/>
    <x:col min="9" max="9" width="28" hidden="0" customWidth="1"/>
    <x:col min="10" max="10" width="18" hidden="0" customWidth="1"/>
    <x:col min="11" max="11" width="58" hidden="0" customWidth="1"/>
  </x:cols>
  <x:sheetData>
    <x:row r="1" ht="25" customHeight="1">
      <x:c r="A1" s="7"/>
      <x:c r="B1" s="7"/>
      <x:c r="C1" s="4" t="str">
        <x:v>Pre-money, post-money and ownership math</x:v>
      </x:c>
      <x:c r="D1" s="4"/>
      <x:c r="E1" s="4"/>
      <x:c r="F1" s="4"/>
      <x:c r="G1" s="4"/>
      <x:c r="H1" s="4"/>
      <x:c r="I1" s="4"/>
      <x:c r="J1" s="4"/>
      <x:c r="K1" s="4"/>
    </x:row>
    <x:row r="2">
      <x:c r="A2" s="7"/>
      <x:c r="B2" s="7"/>
      <x:c r="C2" s="5" t="str">
        <x:v>Simple fully diluted illustrations used in Part 2. They omit option-pool changes, earlier conversions, preferences, transaction costs and later dilution unless entered separately.</x:v>
      </x:c>
      <x:c r="D2" s="5"/>
      <x:c r="E2" s="5"/>
      <x:c r="F2" s="5"/>
      <x:c r="G2" s="5"/>
      <x:c r="H2" s="5"/>
      <x:c r="I2" s="5"/>
      <x:c r="J2" s="5"/>
      <x:c r="K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  <x:c r="J4" s="6"/>
      <x:c r="K4" s="6"/>
    </x:row>
    <x:row r="5" ht="30" customHeight="1">
      <x:c r="A5" s="7"/>
      <x:c r="B5" s="7"/>
      <x:c r="C5" s="18" t="str">
        <x:v>Case</x:v>
      </x:c>
      <x:c r="D5" s="18" t="str">
        <x:v>Pre-money (KES m)</x:v>
      </x:c>
      <x:c r="E5" s="18" t="str">
        <x:v>New investment (KES m)</x:v>
      </x:c>
      <x:c r="F5" s="18" t="str">
        <x:v>Post-money (KES m)</x:v>
      </x:c>
      <x:c r="G5" s="18" t="str">
        <x:v>New investor ownership</x:v>
      </x:c>
      <x:c r="H5" s="18" t="str">
        <x:v>Illustrative exit value (KES m)</x:v>
      </x:c>
      <x:c r="I5" s="18" t="str">
        <x:v>Gross pro-rata proceeds (KES m)</x:v>
      </x:c>
      <x:c r="J5" s="18" t="str">
        <x:v>Simple gross MOIC</x:v>
      </x:c>
      <x:c r="K5" s="18" t="str">
        <x:v>Limit</x:v>
      </x:c>
    </x:row>
    <x:row r="6">
      <x:c r="A6" s="7"/>
      <x:c r="B6" s="7"/>
      <x:c r="C6" s="23" t="str">
        <x:v>KSh30m round at KSh120m pre-money</x:v>
      </x:c>
      <x:c r="D6" s="111" t="n">
        <x:v>120</x:v>
      </x:c>
      <x:c r="E6" s="111" t="n">
        <x:v>30</x:v>
      </x:c>
      <x:c r="F6" s="113" t="n">
        <x:f>D6+E6</x:f>
        <x:v>150</x:v>
      </x:c>
      <x:c r="G6" s="114" t="n">
        <x:f>E6/F6</x:f>
        <x:v>0.2</x:v>
      </x:c>
      <x:c r="H6" s="111"/>
      <x:c r="I6" s="113" t="str">
        <x:f>IF(H6="","",G6*H6)</x:f>
      </x:c>
      <x:c r="J6" s="116" t="str">
        <x:f>IF(OR(I6="",E6=0),"",I6/E6)</x:f>
      </x:c>
      <x:c r="K6" s="23" t="str">
        <x:v>Article arithmetic; no other securities</x:v>
      </x:c>
    </x:row>
    <x:row r="7">
      <x:c r="A7" s="7"/>
      <x:c r="B7" s="7"/>
      <x:c r="C7" s="25" t="str">
        <x:v>KSh100m alternative at KSh400m pre-money</x:v>
      </x:c>
      <x:c r="D7" s="112" t="n">
        <x:v>400</x:v>
      </x:c>
      <x:c r="E7" s="112" t="n">
        <x:v>100</x:v>
      </x:c>
      <x:c r="F7" s="115" t="n">
        <x:f>D7+E7</x:f>
        <x:v>500</x:v>
      </x:c>
      <x:c r="G7" s="29" t="n">
        <x:f>E7/F7</x:f>
        <x:v>0.2</x:v>
      </x:c>
      <x:c r="H7" s="112" t="n">
        <x:v>1000</x:v>
      </x:c>
      <x:c r="I7" s="115" t="n">
        <x:f>IF(H7="","",G7*H7)</x:f>
        <x:v>200</x:v>
      </x:c>
      <x:c r="J7" s="117" t="n">
        <x:f>IF(OR(I7="",E7=0),"",I7/E7)</x:f>
        <x:v>2</x:v>
      </x:c>
      <x:c r="K7" s="25" t="str">
        <x:v>Illustrative KSh1bn exit only; no preference or later dilution</x:v>
      </x:c>
    </x:row>
    <x:row r="8">
      <x:c r="A8" s="7"/>
      <x:c r="B8" s="7"/>
      <x:c r="C8" s="6"/>
      <x:c r="D8" s="6"/>
      <x:c r="E8" s="6"/>
      <x:c r="F8" s="6"/>
      <x:c r="G8" s="6"/>
      <x:c r="H8" s="6"/>
      <x:c r="I8" s="6"/>
      <x:c r="J8" s="6"/>
      <x:c r="K8" s="6"/>
    </x:row>
    <x:row r="9">
      <x:c r="A9" s="7"/>
      <x:c r="B9" s="7"/>
      <x:c r="C9" s="6"/>
      <x:c r="D9" s="6"/>
      <x:c r="E9" s="6"/>
      <x:c r="F9" s="6"/>
      <x:c r="G9" s="6"/>
      <x:c r="H9" s="6"/>
      <x:c r="I9" s="6"/>
      <x:c r="J9" s="6"/>
      <x:c r="K9" s="6"/>
    </x:row>
    <x:row r="10">
      <x:c r="A10" s="7"/>
      <x:c r="B10" s="7"/>
      <x:c r="C10" s="6"/>
      <x:c r="D10" s="6"/>
      <x:c r="E10" s="6"/>
      <x:c r="F10" s="6"/>
      <x:c r="G10" s="6"/>
      <x:c r="H10" s="6"/>
      <x:c r="I10" s="6"/>
      <x:c r="J10" s="6"/>
      <x:c r="K10" s="6"/>
    </x:row>
    <x:row r="11">
      <x:c r="A11" s="7"/>
      <x:c r="B11" s="7"/>
      <x:c r="C11" s="6"/>
      <x:c r="D11" s="6"/>
      <x:c r="E11" s="6"/>
      <x:c r="F11" s="6"/>
      <x:c r="G11" s="6"/>
      <x:c r="H11" s="6"/>
      <x:c r="I11" s="6"/>
      <x:c r="J11" s="6"/>
      <x:c r="K11" s="6"/>
    </x:row>
    <x:row r="12">
      <x:c r="A12" s="7"/>
      <x:c r="B12" s="7"/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7"/>
      <x:c r="B13" s="7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7"/>
      <x:c r="B14" s="7"/>
      <x:c r="C14" s="6"/>
      <x:c r="D14" s="6"/>
      <x:c r="E14" s="6"/>
      <x:c r="F14" s="6"/>
      <x:c r="G14" s="6"/>
      <x:c r="H14" s="6"/>
      <x:c r="I14" s="6"/>
      <x:c r="J14" s="6"/>
      <x:c r="K14" s="6"/>
    </x:row>
    <x:row r="15">
      <x:c r="A15" s="7"/>
      <x:c r="B15" s="7"/>
      <x:c r="C15" s="6"/>
      <x:c r="D15" s="6"/>
      <x:c r="E15" s="6"/>
      <x:c r="F15" s="6"/>
      <x:c r="G15" s="6"/>
      <x:c r="H15" s="6"/>
      <x:c r="I15" s="6"/>
      <x:c r="J15" s="6"/>
      <x:c r="K15" s="6"/>
    </x:row>
    <x:row r="16">
      <x:c r="A16" s="7"/>
      <x:c r="B16" s="7"/>
      <x:c r="C16" s="6"/>
      <x:c r="D16" s="6"/>
      <x:c r="E16" s="6"/>
      <x:c r="F16" s="6"/>
      <x:c r="G16" s="6"/>
      <x:c r="H16" s="6"/>
      <x:c r="I16" s="6"/>
      <x:c r="J16" s="6"/>
      <x:c r="K16" s="6"/>
    </x:row>
    <x:row r="17">
      <x:c r="A17" s="7"/>
      <x:c r="B17" s="7"/>
      <x:c r="C17" s="6"/>
      <x:c r="D17" s="6"/>
      <x:c r="E17" s="6"/>
      <x:c r="F17" s="6"/>
      <x:c r="G17" s="6"/>
      <x:c r="H17" s="6"/>
      <x:c r="I17" s="6"/>
      <x:c r="J17" s="6"/>
      <x:c r="K17" s="6"/>
    </x:row>
    <x:row r="18">
      <x:c r="A18" s="7"/>
      <x:c r="B18" s="7"/>
      <x:c r="C18" s="6"/>
      <x:c r="D18" s="6"/>
      <x:c r="E18" s="6"/>
      <x:c r="F18" s="6"/>
      <x:c r="G18" s="6"/>
      <x:c r="H18" s="6"/>
      <x:c r="I18" s="6"/>
      <x:c r="J18" s="6"/>
      <x:c r="K18" s="6"/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  <x:c r="J140" s="6"/>
      <x:c r="K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  <x:c r="J141" s="6"/>
      <x:c r="K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  <x:c r="J142" s="6"/>
      <x:c r="K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  <x:c r="J143" s="6"/>
      <x:c r="K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  <x:c r="J144" s="6"/>
      <x:c r="K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  <x:c r="J145" s="6"/>
      <x:c r="K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  <x:c r="J146" s="6"/>
      <x:c r="K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  <x:c r="J147" s="6"/>
      <x:c r="K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  <x:c r="J148" s="6"/>
      <x:c r="K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  <x:c r="J149" s="6"/>
      <x:c r="K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  <x:c r="J150" s="6"/>
      <x:c r="K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  <x:c r="J151" s="6"/>
      <x:c r="K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  <x:c r="J152" s="6"/>
      <x:c r="K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  <x:c r="J153" s="6"/>
      <x:c r="K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  <x:c r="J154" s="6"/>
      <x:c r="K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  <x:c r="J155" s="6"/>
      <x:c r="K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  <x:c r="J156" s="6"/>
      <x:c r="K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  <x:c r="J157" s="6"/>
      <x:c r="K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  <x:c r="J158" s="6"/>
      <x:c r="K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  <x:c r="J159" s="6"/>
      <x:c r="K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  <x:c r="J160" s="6"/>
      <x:c r="K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  <x:c r="J161" s="6"/>
      <x:c r="K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  <x:c r="J162" s="6"/>
      <x:c r="K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  <x:c r="J163" s="6"/>
      <x:c r="K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  <x:c r="J164" s="6"/>
      <x:c r="K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  <x:c r="J165" s="6"/>
      <x:c r="K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  <x:c r="J166" s="6"/>
      <x:c r="K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  <x:c r="J167" s="6"/>
      <x:c r="K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  <x:c r="J168" s="6"/>
      <x:c r="K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  <x:c r="J169" s="6"/>
      <x:c r="K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  <x:c r="J170" s="6"/>
      <x:c r="K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  <x:c r="J171" s="6"/>
      <x:c r="K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  <x:c r="J172" s="6"/>
      <x:c r="K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  <x:c r="J173" s="6"/>
      <x:c r="K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  <x:c r="J174" s="6"/>
      <x:c r="K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  <x:c r="J175" s="6"/>
      <x:c r="K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  <x:c r="J176" s="6"/>
      <x:c r="K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  <x:c r="J177" s="6"/>
      <x:c r="K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  <x:c r="J178" s="6"/>
      <x:c r="K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  <x:c r="J179" s="6"/>
      <x:c r="K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  <x:c r="J180" s="6"/>
      <x:c r="K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  <x:c r="J181" s="6"/>
      <x:c r="K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  <x:c r="J182" s="6"/>
      <x:c r="K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  <x:c r="J183" s="6"/>
      <x:c r="K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  <x:c r="J184" s="6"/>
      <x:c r="K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  <x:c r="J185" s="6"/>
      <x:c r="K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  <x:c r="J186" s="6"/>
      <x:c r="K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  <x:c r="J187" s="6"/>
      <x:c r="K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  <x:c r="J188" s="6"/>
      <x:c r="K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  <x:c r="J189" s="6"/>
      <x:c r="K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  <x:c r="J190" s="6"/>
      <x:c r="K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  <x:c r="J191" s="6"/>
      <x:c r="K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  <x:c r="J192" s="6"/>
      <x:c r="K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  <x:c r="J193" s="6"/>
      <x:c r="K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  <x:c r="J194" s="6"/>
      <x:c r="K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  <x:c r="J195" s="6"/>
      <x:c r="K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  <x:c r="J196" s="6"/>
      <x:c r="K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  <x:c r="J197" s="6"/>
      <x:c r="K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  <x:c r="J198" s="6"/>
      <x:c r="K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  <x:c r="J199" s="6"/>
      <x:c r="K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  <x:c r="J200" s="6"/>
      <x:c r="K200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6" hidden="0" customWidth="1"/>
    <x:col min="4" max="4" width="20" hidden="0" customWidth="1"/>
    <x:col min="5" max="5" width="72" hidden="0" customWidth="1"/>
    <x:col min="6" max="6" width="25" hidden="0" customWidth="1"/>
    <x:col min="7" max="7" width="22" hidden="0" customWidth="1"/>
    <x:col min="8" max="8" width="53" hidden="0" customWidth="1"/>
    <x:col min="9" max="9" width="65" hidden="0" customWidth="1"/>
  </x:cols>
  <x:sheetData>
    <x:row r="1" ht="25" customHeight="1">
      <x:c r="A1" s="7"/>
      <x:c r="B1" s="7"/>
      <x:c r="C1" s="4" t="str">
        <x:v>Outcome evidence is dated and entity-specific</x:v>
      </x:c>
      <x:c r="D1" s="4"/>
      <x:c r="E1" s="4"/>
      <x:c r="F1" s="4"/>
      <x:c r="G1" s="4"/>
      <x:c r="H1" s="4"/>
      <x:c r="I1" s="4"/>
    </x:row>
    <x:row r="2">
      <x:c r="A2" s="7"/>
      <x:c r="B2" s="7"/>
      <x:c r="C2" s="5" t="str">
        <x:v>A funding headline does not establish company failure, investor loss or a final recovery. Amounts remain screenshot claims; status text reflects the current verification ledger.</x:v>
      </x:c>
      <x:c r="D2" s="5"/>
      <x:c r="E2" s="5"/>
      <x:c r="F2" s="5"/>
      <x:c r="G2" s="5"/>
      <x:c r="H2" s="5"/>
      <x:c r="I2" s="5"/>
    </x:row>
    <x:row r="3">
      <x:c r="A3" s="7"/>
      <x:c r="B3" s="7"/>
      <x:c r="C3" s="6"/>
      <x:c r="D3" s="6"/>
      <x:c r="E3" s="6"/>
      <x:c r="F3" s="6"/>
      <x:c r="G3" s="6"/>
      <x:c r="H3" s="6"/>
      <x:c r="I3" s="6"/>
    </x:row>
    <x:row r="4">
      <x:c r="A4" s="7"/>
      <x:c r="B4" s="7"/>
      <x:c r="C4" s="6"/>
      <x:c r="D4" s="6"/>
      <x:c r="E4" s="6"/>
      <x:c r="F4" s="6"/>
      <x:c r="G4" s="6"/>
      <x:c r="H4" s="6"/>
      <x:c r="I4" s="6"/>
    </x:row>
    <x:row r="5" ht="30" customHeight="1">
      <x:c r="A5" s="7"/>
      <x:c r="B5" s="7"/>
      <x:c r="C5" s="18" t="str">
        <x:v>Brand / company</x:v>
      </x:c>
      <x:c r="D5" s="18" t="str">
        <x:v>Screenshot amount (KES bn)</x:v>
      </x:c>
      <x:c r="E5" s="18" t="str">
        <x:v>Current status note</x:v>
      </x:c>
      <x:c r="F5" s="18" t="str">
        <x:v>Deal verification</x:v>
      </x:c>
      <x:c r="G5" s="18" t="str">
        <x:v>Investor recovery</x:v>
      </x:c>
      <x:c r="H5" s="18" t="str">
        <x:v>Next evidence step</x:v>
      </x:c>
      <x:c r="I5" s="18" t="str">
        <x:v>Local evidence register</x:v>
      </x:c>
    </x:row>
    <x:row r="6">
      <x:c r="A6" s="7"/>
      <x:c r="B6" s="7"/>
      <x:c r="C6" s="23" t="str">
        <x:v>Twiga Foods</x:v>
      </x:c>
      <x:c r="D6" s="20" t="n">
        <x:v>24.1</x:v>
      </x:c>
      <x:c r="E6" s="23" t="str">
        <x:v>Two entities reported under administration; primary notices pending</x:v>
      </x:c>
      <x:c r="F6" s="23" t="str">
        <x:v>Administration reported for two entities; primary notices pending</x:v>
      </x:c>
      <x:c r="G6" s="20" t="str">
        <x:v>Not calculated</x:v>
      </x:c>
      <x:c r="H6" s="23" t="str">
        <x:v>Confirm exact funded entity and original records</x:v>
      </x:c>
      <x:c r="I6" s="23" t="str">
        <x:v>01 - Screenshot Source Capture; 03 - Claim and Company Verification Ledger</x:v>
      </x:c>
    </x:row>
    <x:row r="7">
      <x:c r="A7" s="7"/>
      <x:c r="B7" s="7"/>
      <x:c r="C7" s="24" t="str">
        <x:v>Copia</x:v>
      </x:c>
      <x:c r="D7" s="21" t="n">
        <x:v>16</x:v>
      </x:c>
      <x:c r="E7" s="24" t="str">
        <x:v>Copia Kenya administration Gazette notice captured; reconcile funded entity</x:v>
      </x:c>
      <x:c r="F7" s="24" t="str">
        <x:v>Copia Kenya Gazette appointment captured; 23-Apr-2026 two-month extension found only in secondary reproduction; current status unknown</x:v>
      </x:c>
      <x:c r="G7" s="21" t="str">
        <x:v>Not calculated</x:v>
      </x:c>
      <x:c r="H7" s="24" t="str">
        <x:v>Confirm exact funded entity and original records</x:v>
      </x:c>
      <x:c r="I7" s="24" t="str">
        <x:v>01 - Screenshot Source Capture; 03 - Claim and Company Verification Ledger</x:v>
      </x:c>
    </x:row>
    <x:row r="8">
      <x:c r="A8" s="7"/>
      <x:c r="B8" s="7"/>
      <x:c r="C8" s="24" t="str">
        <x:v>Gro Intelligence</x:v>
      </x:c>
      <x:c r="D8" s="21" t="n">
        <x:v>15.3</x:v>
      </x:c>
      <x:c r="E8" s="24" t="str">
        <x:v>Outcome / legal entity unresolved in current ledger</x:v>
      </x:c>
      <x:c r="F8" s="24" t="str">
        <x:v>Unreconciled</x:v>
      </x:c>
      <x:c r="G8" s="21" t="str">
        <x:v>Not calculated</x:v>
      </x:c>
      <x:c r="H8" s="24" t="str">
        <x:v>Confirm exact funded entity and original records</x:v>
      </x:c>
      <x:c r="I8" s="24" t="str">
        <x:v>01 - Screenshot Source Capture; 03 - Claim and Company Verification Ledger</x:v>
      </x:c>
    </x:row>
    <x:row r="9">
      <x:c r="A9" s="7"/>
      <x:c r="B9" s="7"/>
      <x:c r="C9" s="24" t="str">
        <x:v>Koko Networks</x:v>
      </x:c>
      <x:c r="D9" s="21" t="n">
        <x:v>13</x:v>
      </x:c>
      <x:c r="E9" s="24" t="str">
        <x:v>Outcome / legal entity unresolved in current ledger</x:v>
      </x:c>
      <x:c r="F9" s="24" t="str">
        <x:v>Unreconciled</x:v>
      </x:c>
      <x:c r="G9" s="21" t="str">
        <x:v>Not calculated</x:v>
      </x:c>
      <x:c r="H9" s="24" t="str">
        <x:v>Confirm exact funded entity and original records</x:v>
      </x:c>
      <x:c r="I9" s="24" t="str">
        <x:v>01 - Screenshot Source Capture; 03 - Claim and Company Verification Ledger</x:v>
      </x:c>
    </x:row>
    <x:row r="10">
      <x:c r="A10" s="7"/>
      <x:c r="B10" s="7"/>
      <x:c r="C10" s="24" t="str">
        <x:v>Mobius Motors</x:v>
      </x:c>
      <x:c r="D10" s="21" t="n">
        <x:v>7.3</x:v>
      </x:c>
      <x:c r="E10" s="24" t="str">
        <x:v>Outcome / legal entity unresolved in current ledger</x:v>
      </x:c>
      <x:c r="F10" s="24" t="str">
        <x:v>Unreconciled</x:v>
      </x:c>
      <x:c r="G10" s="21" t="str">
        <x:v>Not calculated</x:v>
      </x:c>
      <x:c r="H10" s="24" t="str">
        <x:v>Confirm exact funded entity and original records</x:v>
      </x:c>
      <x:c r="I10" s="24" t="str">
        <x:v>01 - Screenshot Source Capture; 03 - Claim and Company Verification Ledger</x:v>
      </x:c>
    </x:row>
    <x:row r="11">
      <x:c r="A11" s="7"/>
      <x:c r="B11" s="7"/>
      <x:c r="C11" s="24" t="str">
        <x:v>MarketForce</x:v>
      </x:c>
      <x:c r="D11" s="21" t="n">
        <x:v>5.5</x:v>
      </x:c>
      <x:c r="E11" s="24" t="str">
        <x:v>Outcome / legal entity unresolved in current ledger</x:v>
      </x:c>
      <x:c r="F11" s="24" t="str">
        <x:v>Unreconciled</x:v>
      </x:c>
      <x:c r="G11" s="21" t="str">
        <x:v>Not calculated</x:v>
      </x:c>
      <x:c r="H11" s="24" t="str">
        <x:v>Confirm exact funded entity and original records</x:v>
      </x:c>
      <x:c r="I11" s="24" t="str">
        <x:v>01 - Screenshot Source Capture; 03 - Claim and Company Verification Ledger</x:v>
      </x:c>
    </x:row>
    <x:row r="12">
      <x:c r="A12" s="7"/>
      <x:c r="B12" s="7"/>
      <x:c r="C12" s="24" t="str">
        <x:v>Wefarm</x:v>
      </x:c>
      <x:c r="D12" s="21" t="n">
        <x:v>4.2</x:v>
      </x:c>
      <x:c r="E12" s="24" t="str">
        <x:v>Outcome / legal entity unresolved in current ledger</x:v>
      </x:c>
      <x:c r="F12" s="24" t="str">
        <x:v>Unreconciled</x:v>
      </x:c>
      <x:c r="G12" s="21" t="str">
        <x:v>Not calculated</x:v>
      </x:c>
      <x:c r="H12" s="24" t="str">
        <x:v>Confirm exact funded entity and original records</x:v>
      </x:c>
      <x:c r="I12" s="24" t="str">
        <x:v>01 - Screenshot Source Capture; 03 - Claim and Company Verification Ledger</x:v>
      </x:c>
    </x:row>
    <x:row r="13">
      <x:c r="A13" s="7"/>
      <x:c r="B13" s="7"/>
      <x:c r="C13" s="24" t="str">
        <x:v>Sendy</x:v>
      </x:c>
      <x:c r="D13" s="21" t="n">
        <x:v>3.2</x:v>
      </x:c>
      <x:c r="E13" s="24" t="str">
        <x:v>Outcome / legal entity unresolved in current ledger</x:v>
      </x:c>
      <x:c r="F13" s="24" t="str">
        <x:v>Unreconciled</x:v>
      </x:c>
      <x:c r="G13" s="21" t="str">
        <x:v>Not calculated</x:v>
      </x:c>
      <x:c r="H13" s="24" t="str">
        <x:v>Confirm exact funded entity and original records</x:v>
      </x:c>
      <x:c r="I13" s="24" t="str">
        <x:v>01 - Screenshot Source Capture; 03 - Claim and Company Verification Ledger</x:v>
      </x:c>
    </x:row>
    <x:row r="14">
      <x:c r="A14" s="7"/>
      <x:c r="B14" s="7"/>
      <x:c r="C14" s="24" t="str">
        <x:v>iProcure</x:v>
      </x:c>
      <x:c r="D14" s="21" t="n">
        <x:v>2.2</x:v>
      </x:c>
      <x:c r="E14" s="24" t="str">
        <x:v>Outcome / legal entity unresolved in current ledger</x:v>
      </x:c>
      <x:c r="F14" s="24" t="str">
        <x:v>Unreconciled</x:v>
      </x:c>
      <x:c r="G14" s="21" t="str">
        <x:v>Not calculated</x:v>
      </x:c>
      <x:c r="H14" s="24" t="str">
        <x:v>Confirm exact funded entity and original records</x:v>
      </x:c>
      <x:c r="I14" s="24" t="str">
        <x:v>01 - Screenshot Source Capture; 03 - Claim and Company Verification Ledger</x:v>
      </x:c>
    </x:row>
    <x:row r="15">
      <x:c r="A15" s="7"/>
      <x:c r="B15" s="7"/>
      <x:c r="C15" s="24" t="str">
        <x:v>Lipa Later</x:v>
      </x:c>
      <x:c r="D15" s="21" t="n">
        <x:v>2.2</x:v>
      </x:c>
      <x:c r="E15" s="24" t="str">
        <x:v>Outcome / legal entity unresolved in current ledger</x:v>
      </x:c>
      <x:c r="F15" s="24" t="str">
        <x:v>Unreconciled</x:v>
      </x:c>
      <x:c r="G15" s="21" t="str">
        <x:v>Not calculated</x:v>
      </x:c>
      <x:c r="H15" s="24" t="str">
        <x:v>Confirm exact funded entity and original records</x:v>
      </x:c>
      <x:c r="I15" s="24" t="str">
        <x:v>01 - Screenshot Source Capture; 03 - Claim and Company Verification Ledger</x:v>
      </x:c>
    </x:row>
    <x:row r="16">
      <x:c r="A16" s="7"/>
      <x:c r="B16" s="7"/>
      <x:c r="C16" s="24" t="str">
        <x:v>Kune Foods</x:v>
      </x:c>
      <x:c r="D16" s="21" t="n">
        <x:v>0.13</x:v>
      </x:c>
      <x:c r="E16" s="24" t="str">
        <x:v>Outcome / legal entity unresolved in current ledger</x:v>
      </x:c>
      <x:c r="F16" s="24" t="str">
        <x:v>Unreconciled</x:v>
      </x:c>
      <x:c r="G16" s="21" t="str">
        <x:v>Not calculated</x:v>
      </x:c>
      <x:c r="H16" s="24" t="str">
        <x:v>Confirm exact funded entity and original records</x:v>
      </x:c>
      <x:c r="I16" s="24" t="str">
        <x:v>01 - Screenshot Source Capture; 03 - Claim and Company Verification Ledger</x:v>
      </x:c>
    </x:row>
    <x:row r="17">
      <x:c r="A17" s="7"/>
      <x:c r="B17" s="7"/>
      <x:c r="C17" s="24" t="str">
        <x:v>Zumi</x:v>
      </x:c>
      <x:c r="D17" s="21" t="n">
        <x:v>0.13</x:v>
      </x:c>
      <x:c r="E17" s="24" t="str">
        <x:v>Outcome / legal entity unresolved in current ledger</x:v>
      </x:c>
      <x:c r="F17" s="24" t="str">
        <x:v>Unreconciled</x:v>
      </x:c>
      <x:c r="G17" s="21" t="str">
        <x:v>Not calculated</x:v>
      </x:c>
      <x:c r="H17" s="24" t="str">
        <x:v>Confirm exact funded entity and original records</x:v>
      </x:c>
      <x:c r="I17" s="24" t="str">
        <x:v>01 - Screenshot Source Capture; 03 - Claim and Company Verification Ledger</x:v>
      </x:c>
    </x:row>
    <x:row r="18">
      <x:c r="A18" s="7"/>
      <x:c r="B18" s="7"/>
      <x:c r="C18" s="25" t="str">
        <x:v>Notify Logistics</x:v>
      </x:c>
      <x:c r="D18" s="22" t="n">
        <x:v>0.05</x:v>
      </x:c>
      <x:c r="E18" s="25" t="str">
        <x:v>Outcome / legal entity unresolved in current ledger</x:v>
      </x:c>
      <x:c r="F18" s="25" t="str">
        <x:v>Unreconciled</x:v>
      </x:c>
      <x:c r="G18" s="22" t="str">
        <x:v>Not calculated</x:v>
      </x:c>
      <x:c r="H18" s="25" t="str">
        <x:v>Confirm exact funded entity and original records</x:v>
      </x:c>
      <x:c r="I18" s="25" t="str">
        <x:v>01 - Screenshot Source Capture; 03 - Claim and Company Verification Ledger</x:v>
      </x:c>
    </x:row>
    <x:row r="19">
      <x:c r="A19" s="7"/>
      <x:c r="B19" s="7"/>
      <x:c r="C19" s="6"/>
      <x:c r="D19" s="6"/>
      <x:c r="E19" s="6"/>
      <x:c r="F19" s="6"/>
      <x:c r="G19" s="6"/>
      <x:c r="H19" s="6"/>
      <x:c r="I19" s="6"/>
    </x:row>
    <x:row r="20">
      <x:c r="A20" s="7"/>
      <x:c r="B20" s="7"/>
      <x:c r="C20" s="6"/>
      <x:c r="D20" s="6"/>
      <x:c r="E20" s="6"/>
      <x:c r="F20" s="6"/>
      <x:c r="G20" s="6"/>
      <x:c r="H20" s="6"/>
      <x:c r="I20" s="6"/>
    </x:row>
    <x:row r="21">
      <x:c r="A21" s="7"/>
      <x:c r="B21" s="7"/>
      <x:c r="C21" s="6"/>
      <x:c r="D21" s="6"/>
      <x:c r="E21" s="6"/>
      <x:c r="F21" s="6"/>
      <x:c r="G21" s="6"/>
      <x:c r="H21" s="6"/>
      <x:c r="I21" s="6"/>
    </x:row>
    <x:row r="22">
      <x:c r="A22" s="7"/>
      <x:c r="B22" s="7"/>
      <x:c r="C22" s="6"/>
      <x:c r="D22" s="6"/>
      <x:c r="E22" s="6"/>
      <x:c r="F22" s="6"/>
      <x:c r="G22" s="6"/>
      <x:c r="H22" s="6"/>
      <x:c r="I22" s="6"/>
    </x:row>
    <x:row r="23">
      <x:c r="A23" s="7"/>
      <x:c r="B23" s="7"/>
      <x:c r="C23" s="6"/>
      <x:c r="D23" s="6"/>
      <x:c r="E23" s="6"/>
      <x:c r="F23" s="6"/>
      <x:c r="G23" s="6"/>
      <x:c r="H23" s="6"/>
      <x:c r="I23" s="6"/>
    </x:row>
    <x:row r="24">
      <x:c r="A24" s="7"/>
      <x:c r="B24" s="7"/>
      <x:c r="C24" s="6"/>
      <x:c r="D24" s="6"/>
      <x:c r="E24" s="6"/>
      <x:c r="F24" s="6"/>
      <x:c r="G24" s="6"/>
      <x:c r="H24" s="6"/>
      <x:c r="I24" s="6"/>
    </x:row>
    <x:row r="25">
      <x:c r="A25" s="7"/>
      <x:c r="B25" s="7"/>
      <x:c r="C25" s="6"/>
      <x:c r="D25" s="6"/>
      <x:c r="E25" s="6"/>
      <x:c r="F25" s="6"/>
      <x:c r="G25" s="6"/>
      <x:c r="H25" s="6"/>
      <x:c r="I25" s="6"/>
    </x:row>
    <x:row r="26">
      <x:c r="A26" s="7"/>
      <x:c r="B26" s="7"/>
      <x:c r="C26" s="6"/>
      <x:c r="D26" s="6"/>
      <x:c r="E26" s="6"/>
      <x:c r="F26" s="6"/>
      <x:c r="G26" s="6"/>
      <x:c r="H26" s="6"/>
      <x:c r="I26" s="6"/>
    </x:row>
    <x:row r="27">
      <x:c r="A27" s="7"/>
      <x:c r="B27" s="7"/>
      <x:c r="C27" s="6"/>
      <x:c r="D27" s="6"/>
      <x:c r="E27" s="6"/>
      <x:c r="F27" s="6"/>
      <x:c r="G27" s="6"/>
      <x:c r="H27" s="6"/>
      <x:c r="I27" s="6"/>
    </x:row>
    <x:row r="28">
      <x:c r="A28" s="7"/>
      <x:c r="B28" s="7"/>
      <x:c r="C28" s="6"/>
      <x:c r="D28" s="6"/>
      <x:c r="E28" s="6"/>
      <x:c r="F28" s="6"/>
      <x:c r="G28" s="6"/>
      <x:c r="H28" s="6"/>
      <x:c r="I28" s="6"/>
    </x:row>
    <x:row r="29">
      <x:c r="A29" s="7"/>
      <x:c r="B29" s="7"/>
      <x:c r="C29" s="6"/>
      <x:c r="D29" s="6"/>
      <x:c r="E29" s="6"/>
      <x:c r="F29" s="6"/>
      <x:c r="G29" s="6"/>
      <x:c r="H29" s="6"/>
      <x:c r="I29" s="6"/>
    </x:row>
    <x:row r="30">
      <x:c r="A30" s="7"/>
      <x:c r="B30" s="7"/>
      <x:c r="C30" s="6"/>
      <x:c r="D30" s="6"/>
      <x:c r="E30" s="6"/>
      <x:c r="F30" s="6"/>
      <x:c r="G30" s="6"/>
      <x:c r="H30" s="6"/>
      <x:c r="I30" s="6"/>
    </x:row>
    <x:row r="31">
      <x:c r="A31" s="7"/>
      <x:c r="B31" s="7"/>
      <x:c r="C31" s="6"/>
      <x:c r="D31" s="6"/>
      <x:c r="E31" s="6"/>
      <x:c r="F31" s="6"/>
      <x:c r="G31" s="6"/>
      <x:c r="H31" s="6"/>
      <x:c r="I31" s="6"/>
    </x:row>
    <x:row r="32">
      <x:c r="A32" s="7"/>
      <x:c r="B32" s="7"/>
      <x:c r="C32" s="6"/>
      <x:c r="D32" s="6"/>
      <x:c r="E32" s="6"/>
      <x:c r="F32" s="6"/>
      <x:c r="G32" s="6"/>
      <x:c r="H32" s="6"/>
      <x:c r="I32" s="6"/>
    </x:row>
    <x:row r="33">
      <x:c r="A33" s="7"/>
      <x:c r="B33" s="7"/>
      <x:c r="C33" s="6"/>
      <x:c r="D33" s="6"/>
      <x:c r="E33" s="6"/>
      <x:c r="F33" s="6"/>
      <x:c r="G33" s="6"/>
      <x:c r="H33" s="6"/>
      <x:c r="I33" s="6"/>
    </x:row>
    <x:row r="34">
      <x:c r="A34" s="7"/>
      <x:c r="B34" s="7"/>
      <x:c r="C34" s="6"/>
      <x:c r="D34" s="6"/>
      <x:c r="E34" s="6"/>
      <x:c r="F34" s="6"/>
      <x:c r="G34" s="6"/>
      <x:c r="H34" s="6"/>
      <x:c r="I34" s="6"/>
    </x:row>
    <x:row r="35">
      <x:c r="A35" s="7"/>
      <x:c r="B35" s="7"/>
      <x:c r="C35" s="6"/>
      <x:c r="D35" s="6"/>
      <x:c r="E35" s="6"/>
      <x:c r="F35" s="6"/>
      <x:c r="G35" s="6"/>
      <x:c r="H35" s="6"/>
      <x:c r="I35" s="6"/>
    </x:row>
    <x:row r="36">
      <x:c r="A36" s="7"/>
      <x:c r="B36" s="7"/>
      <x:c r="C36" s="6"/>
      <x:c r="D36" s="6"/>
      <x:c r="E36" s="6"/>
      <x:c r="F36" s="6"/>
      <x:c r="G36" s="6"/>
      <x:c r="H36" s="6"/>
      <x:c r="I36" s="6"/>
    </x:row>
    <x:row r="37">
      <x:c r="A37" s="7"/>
      <x:c r="B37" s="7"/>
      <x:c r="C37" s="6"/>
      <x:c r="D37" s="6"/>
      <x:c r="E37" s="6"/>
      <x:c r="F37" s="6"/>
      <x:c r="G37" s="6"/>
      <x:c r="H37" s="6"/>
      <x:c r="I37" s="6"/>
    </x:row>
    <x:row r="38">
      <x:c r="A38" s="7"/>
      <x:c r="B38" s="7"/>
      <x:c r="C38" s="6"/>
      <x:c r="D38" s="6"/>
      <x:c r="E38" s="6"/>
      <x:c r="F38" s="6"/>
      <x:c r="G38" s="6"/>
      <x:c r="H38" s="6"/>
      <x:c r="I38" s="6"/>
    </x:row>
    <x:row r="39">
      <x:c r="A39" s="7"/>
      <x:c r="B39" s="7"/>
      <x:c r="C39" s="6"/>
      <x:c r="D39" s="6"/>
      <x:c r="E39" s="6"/>
      <x:c r="F39" s="6"/>
      <x:c r="G39" s="6"/>
      <x:c r="H39" s="6"/>
      <x:c r="I39" s="6"/>
    </x:row>
    <x:row r="40">
      <x:c r="A40" s="7"/>
      <x:c r="B40" s="7"/>
      <x:c r="C40" s="6"/>
      <x:c r="D40" s="6"/>
      <x:c r="E40" s="6"/>
      <x:c r="F40" s="6"/>
      <x:c r="G40" s="6"/>
      <x:c r="H40" s="6"/>
      <x:c r="I40" s="6"/>
    </x:row>
    <x:row r="41">
      <x:c r="A41" s="7"/>
      <x:c r="B41" s="7"/>
      <x:c r="C41" s="6"/>
      <x:c r="D41" s="6"/>
      <x:c r="E41" s="6"/>
      <x:c r="F41" s="6"/>
      <x:c r="G41" s="6"/>
      <x:c r="H41" s="6"/>
      <x:c r="I41" s="6"/>
    </x:row>
    <x:row r="42">
      <x:c r="A42" s="7"/>
      <x:c r="B42" s="7"/>
      <x:c r="C42" s="6"/>
      <x:c r="D42" s="6"/>
      <x:c r="E42" s="6"/>
      <x:c r="F42" s="6"/>
      <x:c r="G42" s="6"/>
      <x:c r="H42" s="6"/>
      <x:c r="I42" s="6"/>
    </x:row>
    <x:row r="43">
      <x:c r="A43" s="7"/>
      <x:c r="B43" s="7"/>
      <x:c r="C43" s="6"/>
      <x:c r="D43" s="6"/>
      <x:c r="E43" s="6"/>
      <x:c r="F43" s="6"/>
      <x:c r="G43" s="6"/>
      <x:c r="H43" s="6"/>
      <x:c r="I43" s="6"/>
    </x:row>
    <x:row r="44">
      <x:c r="A44" s="7"/>
      <x:c r="B44" s="7"/>
      <x:c r="C44" s="6"/>
      <x:c r="D44" s="6"/>
      <x:c r="E44" s="6"/>
      <x:c r="F44" s="6"/>
      <x:c r="G44" s="6"/>
      <x:c r="H44" s="6"/>
      <x:c r="I44" s="6"/>
    </x:row>
    <x:row r="45">
      <x:c r="A45" s="7"/>
      <x:c r="B45" s="7"/>
      <x:c r="C45" s="6"/>
      <x:c r="D45" s="6"/>
      <x:c r="E45" s="6"/>
      <x:c r="F45" s="6"/>
      <x:c r="G45" s="6"/>
      <x:c r="H45" s="6"/>
      <x:c r="I45" s="6"/>
    </x:row>
    <x:row r="46">
      <x:c r="A46" s="7"/>
      <x:c r="B46" s="7"/>
      <x:c r="C46" s="6"/>
      <x:c r="D46" s="6"/>
      <x:c r="E46" s="6"/>
      <x:c r="F46" s="6"/>
      <x:c r="G46" s="6"/>
      <x:c r="H46" s="6"/>
      <x:c r="I46" s="6"/>
    </x:row>
    <x:row r="47">
      <x:c r="A47" s="7"/>
      <x:c r="B47" s="7"/>
      <x:c r="C47" s="6"/>
      <x:c r="D47" s="6"/>
      <x:c r="E47" s="6"/>
      <x:c r="F47" s="6"/>
      <x:c r="G47" s="6"/>
      <x:c r="H47" s="6"/>
      <x:c r="I47" s="6"/>
    </x:row>
    <x:row r="48">
      <x:c r="A48" s="7"/>
      <x:c r="B48" s="7"/>
      <x:c r="C48" s="6"/>
      <x:c r="D48" s="6"/>
      <x:c r="E48" s="6"/>
      <x:c r="F48" s="6"/>
      <x:c r="G48" s="6"/>
      <x:c r="H48" s="6"/>
      <x:c r="I48" s="6"/>
    </x:row>
    <x:row r="49">
      <x:c r="A49" s="7"/>
      <x:c r="B49" s="7"/>
      <x:c r="C49" s="6"/>
      <x:c r="D49" s="6"/>
      <x:c r="E49" s="6"/>
      <x:c r="F49" s="6"/>
      <x:c r="G49" s="6"/>
      <x:c r="H49" s="6"/>
      <x:c r="I49" s="6"/>
    </x:row>
    <x:row r="50">
      <x:c r="A50" s="7"/>
      <x:c r="B50" s="7"/>
      <x:c r="C50" s="6"/>
      <x:c r="D50" s="6"/>
      <x:c r="E50" s="6"/>
      <x:c r="F50" s="6"/>
      <x:c r="G50" s="6"/>
      <x:c r="H50" s="6"/>
      <x:c r="I50" s="6"/>
    </x:row>
    <x:row r="51">
      <x:c r="A51" s="7"/>
      <x:c r="B51" s="7"/>
      <x:c r="C51" s="6"/>
      <x:c r="D51" s="6"/>
      <x:c r="E51" s="6"/>
      <x:c r="F51" s="6"/>
      <x:c r="G51" s="6"/>
      <x:c r="H51" s="6"/>
      <x:c r="I51" s="6"/>
    </x:row>
    <x:row r="52">
      <x:c r="A52" s="7"/>
      <x:c r="B52" s="7"/>
      <x:c r="C52" s="6"/>
      <x:c r="D52" s="6"/>
      <x:c r="E52" s="6"/>
      <x:c r="F52" s="6"/>
      <x:c r="G52" s="6"/>
      <x:c r="H52" s="6"/>
      <x:c r="I52" s="6"/>
    </x:row>
    <x:row r="53">
      <x:c r="A53" s="7"/>
      <x:c r="B53" s="7"/>
      <x:c r="C53" s="6"/>
      <x:c r="D53" s="6"/>
      <x:c r="E53" s="6"/>
      <x:c r="F53" s="6"/>
      <x:c r="G53" s="6"/>
      <x:c r="H53" s="6"/>
      <x:c r="I53" s="6"/>
    </x:row>
    <x:row r="54">
      <x:c r="A54" s="7"/>
      <x:c r="B54" s="7"/>
      <x:c r="C54" s="6"/>
      <x:c r="D54" s="6"/>
      <x:c r="E54" s="6"/>
      <x:c r="F54" s="6"/>
      <x:c r="G54" s="6"/>
      <x:c r="H54" s="6"/>
      <x:c r="I54" s="6"/>
    </x:row>
    <x:row r="55">
      <x:c r="A55" s="7"/>
      <x:c r="B55" s="7"/>
      <x:c r="C55" s="6"/>
      <x:c r="D55" s="6"/>
      <x:c r="E55" s="6"/>
      <x:c r="F55" s="6"/>
      <x:c r="G55" s="6"/>
      <x:c r="H55" s="6"/>
      <x:c r="I55" s="6"/>
    </x:row>
    <x:row r="56">
      <x:c r="A56" s="7"/>
      <x:c r="B56" s="7"/>
      <x:c r="C56" s="6"/>
      <x:c r="D56" s="6"/>
      <x:c r="E56" s="6"/>
      <x:c r="F56" s="6"/>
      <x:c r="G56" s="6"/>
      <x:c r="H56" s="6"/>
      <x:c r="I56" s="6"/>
    </x:row>
    <x:row r="57">
      <x:c r="A57" s="7"/>
      <x:c r="B57" s="7"/>
      <x:c r="C57" s="6"/>
      <x:c r="D57" s="6"/>
      <x:c r="E57" s="6"/>
      <x:c r="F57" s="6"/>
      <x:c r="G57" s="6"/>
      <x:c r="H57" s="6"/>
      <x:c r="I57" s="6"/>
    </x:row>
    <x:row r="58">
      <x:c r="A58" s="7"/>
      <x:c r="B58" s="7"/>
      <x:c r="C58" s="6"/>
      <x:c r="D58" s="6"/>
      <x:c r="E58" s="6"/>
      <x:c r="F58" s="6"/>
      <x:c r="G58" s="6"/>
      <x:c r="H58" s="6"/>
      <x:c r="I58" s="6"/>
    </x:row>
    <x:row r="59">
      <x:c r="A59" s="7"/>
      <x:c r="B59" s="7"/>
      <x:c r="C59" s="6"/>
      <x:c r="D59" s="6"/>
      <x:c r="E59" s="6"/>
      <x:c r="F59" s="6"/>
      <x:c r="G59" s="6"/>
      <x:c r="H59" s="6"/>
      <x:c r="I59" s="6"/>
    </x:row>
    <x:row r="60">
      <x:c r="A60" s="7"/>
      <x:c r="B60" s="7"/>
      <x:c r="C60" s="6"/>
      <x:c r="D60" s="6"/>
      <x:c r="E60" s="6"/>
      <x:c r="F60" s="6"/>
      <x:c r="G60" s="6"/>
      <x:c r="H60" s="6"/>
      <x:c r="I60" s="6"/>
    </x:row>
    <x:row r="61">
      <x:c r="A61" s="7"/>
      <x:c r="B61" s="7"/>
      <x:c r="C61" s="6"/>
      <x:c r="D61" s="6"/>
      <x:c r="E61" s="6"/>
      <x:c r="F61" s="6"/>
      <x:c r="G61" s="6"/>
      <x:c r="H61" s="6"/>
      <x:c r="I61" s="6"/>
    </x:row>
    <x:row r="62">
      <x:c r="A62" s="7"/>
      <x:c r="B62" s="7"/>
      <x:c r="C62" s="6"/>
      <x:c r="D62" s="6"/>
      <x:c r="E62" s="6"/>
      <x:c r="F62" s="6"/>
      <x:c r="G62" s="6"/>
      <x:c r="H62" s="6"/>
      <x:c r="I62" s="6"/>
    </x:row>
    <x:row r="63">
      <x:c r="A63" s="7"/>
      <x:c r="B63" s="7"/>
      <x:c r="C63" s="6"/>
      <x:c r="D63" s="6"/>
      <x:c r="E63" s="6"/>
      <x:c r="F63" s="6"/>
      <x:c r="G63" s="6"/>
      <x:c r="H63" s="6"/>
      <x:c r="I63" s="6"/>
    </x:row>
    <x:row r="64">
      <x:c r="A64" s="7"/>
      <x:c r="B64" s="7"/>
      <x:c r="C64" s="6"/>
      <x:c r="D64" s="6"/>
      <x:c r="E64" s="6"/>
      <x:c r="F64" s="6"/>
      <x:c r="G64" s="6"/>
      <x:c r="H64" s="6"/>
      <x:c r="I64" s="6"/>
    </x:row>
    <x:row r="65">
      <x:c r="A65" s="7"/>
      <x:c r="B65" s="7"/>
      <x:c r="C65" s="6"/>
      <x:c r="D65" s="6"/>
      <x:c r="E65" s="6"/>
      <x:c r="F65" s="6"/>
      <x:c r="G65" s="6"/>
      <x:c r="H65" s="6"/>
      <x:c r="I65" s="6"/>
    </x:row>
    <x:row r="66">
      <x:c r="A66" s="7"/>
      <x:c r="B66" s="7"/>
      <x:c r="C66" s="6"/>
      <x:c r="D66" s="6"/>
      <x:c r="E66" s="6"/>
      <x:c r="F66" s="6"/>
      <x:c r="G66" s="6"/>
      <x:c r="H66" s="6"/>
      <x:c r="I66" s="6"/>
    </x:row>
    <x:row r="67">
      <x:c r="A67" s="7"/>
      <x:c r="B67" s="7"/>
      <x:c r="C67" s="6"/>
      <x:c r="D67" s="6"/>
      <x:c r="E67" s="6"/>
      <x:c r="F67" s="6"/>
      <x:c r="G67" s="6"/>
      <x:c r="H67" s="6"/>
      <x:c r="I67" s="6"/>
    </x:row>
    <x:row r="68">
      <x:c r="A68" s="7"/>
      <x:c r="B68" s="7"/>
      <x:c r="C68" s="6"/>
      <x:c r="D68" s="6"/>
      <x:c r="E68" s="6"/>
      <x:c r="F68" s="6"/>
      <x:c r="G68" s="6"/>
      <x:c r="H68" s="6"/>
      <x:c r="I68" s="6"/>
    </x:row>
    <x:row r="69">
      <x:c r="A69" s="7"/>
      <x:c r="B69" s="7"/>
      <x:c r="C69" s="6"/>
      <x:c r="D69" s="6"/>
      <x:c r="E69" s="6"/>
      <x:c r="F69" s="6"/>
      <x:c r="G69" s="6"/>
      <x:c r="H69" s="6"/>
      <x:c r="I69" s="6"/>
    </x:row>
    <x:row r="70">
      <x:c r="A70" s="7"/>
      <x:c r="B70" s="7"/>
      <x:c r="C70" s="6"/>
      <x:c r="D70" s="6"/>
      <x:c r="E70" s="6"/>
      <x:c r="F70" s="6"/>
      <x:c r="G70" s="6"/>
      <x:c r="H70" s="6"/>
      <x:c r="I70" s="6"/>
    </x:row>
    <x:row r="71">
      <x:c r="A71" s="7"/>
      <x:c r="B71" s="7"/>
      <x:c r="C71" s="6"/>
      <x:c r="D71" s="6"/>
      <x:c r="E71" s="6"/>
      <x:c r="F71" s="6"/>
      <x:c r="G71" s="6"/>
      <x:c r="H71" s="6"/>
      <x:c r="I71" s="6"/>
    </x:row>
    <x:row r="72">
      <x:c r="A72" s="7"/>
      <x:c r="B72" s="7"/>
      <x:c r="C72" s="6"/>
      <x:c r="D72" s="6"/>
      <x:c r="E72" s="6"/>
      <x:c r="F72" s="6"/>
      <x:c r="G72" s="6"/>
      <x:c r="H72" s="6"/>
      <x:c r="I72" s="6"/>
    </x:row>
    <x:row r="73">
      <x:c r="A73" s="7"/>
      <x:c r="B73" s="7"/>
      <x:c r="C73" s="6"/>
      <x:c r="D73" s="6"/>
      <x:c r="E73" s="6"/>
      <x:c r="F73" s="6"/>
      <x:c r="G73" s="6"/>
      <x:c r="H73" s="6"/>
      <x:c r="I73" s="6"/>
    </x:row>
    <x:row r="74">
      <x:c r="A74" s="7"/>
      <x:c r="B74" s="7"/>
      <x:c r="C74" s="6"/>
      <x:c r="D74" s="6"/>
      <x:c r="E74" s="6"/>
      <x:c r="F74" s="6"/>
      <x:c r="G74" s="6"/>
      <x:c r="H74" s="6"/>
      <x:c r="I74" s="6"/>
    </x:row>
    <x:row r="75">
      <x:c r="A75" s="7"/>
      <x:c r="B75" s="7"/>
      <x:c r="C75" s="6"/>
      <x:c r="D75" s="6"/>
      <x:c r="E75" s="6"/>
      <x:c r="F75" s="6"/>
      <x:c r="G75" s="6"/>
      <x:c r="H75" s="6"/>
      <x:c r="I75" s="6"/>
    </x:row>
    <x:row r="76">
      <x:c r="A76" s="7"/>
      <x:c r="B76" s="7"/>
      <x:c r="C76" s="6"/>
      <x:c r="D76" s="6"/>
      <x:c r="E76" s="6"/>
      <x:c r="F76" s="6"/>
      <x:c r="G76" s="6"/>
      <x:c r="H76" s="6"/>
      <x:c r="I76" s="6"/>
    </x:row>
    <x:row r="77">
      <x:c r="A77" s="7"/>
      <x:c r="B77" s="7"/>
      <x:c r="C77" s="6"/>
      <x:c r="D77" s="6"/>
      <x:c r="E77" s="6"/>
      <x:c r="F77" s="6"/>
      <x:c r="G77" s="6"/>
      <x:c r="H77" s="6"/>
      <x:c r="I77" s="6"/>
    </x:row>
    <x:row r="78">
      <x:c r="A78" s="7"/>
      <x:c r="B78" s="7"/>
      <x:c r="C78" s="6"/>
      <x:c r="D78" s="6"/>
      <x:c r="E78" s="6"/>
      <x:c r="F78" s="6"/>
      <x:c r="G78" s="6"/>
      <x:c r="H78" s="6"/>
      <x:c r="I78" s="6"/>
    </x:row>
    <x:row r="79">
      <x:c r="A79" s="7"/>
      <x:c r="B79" s="7"/>
      <x:c r="C79" s="6"/>
      <x:c r="D79" s="6"/>
      <x:c r="E79" s="6"/>
      <x:c r="F79" s="6"/>
      <x:c r="G79" s="6"/>
      <x:c r="H79" s="6"/>
      <x:c r="I79" s="6"/>
    </x:row>
    <x:row r="80">
      <x:c r="A80" s="7"/>
      <x:c r="B80" s="7"/>
      <x:c r="C80" s="6"/>
      <x:c r="D80" s="6"/>
      <x:c r="E80" s="6"/>
      <x:c r="F80" s="6"/>
      <x:c r="G80" s="6"/>
      <x:c r="H80" s="6"/>
      <x:c r="I80" s="6"/>
    </x:row>
    <x:row r="81">
      <x:c r="A81" s="7"/>
      <x:c r="B81" s="7"/>
      <x:c r="C81" s="6"/>
      <x:c r="D81" s="6"/>
      <x:c r="E81" s="6"/>
      <x:c r="F81" s="6"/>
      <x:c r="G81" s="6"/>
      <x:c r="H81" s="6"/>
      <x:c r="I81" s="6"/>
    </x:row>
    <x:row r="82">
      <x:c r="A82" s="7"/>
      <x:c r="B82" s="7"/>
      <x:c r="C82" s="6"/>
      <x:c r="D82" s="6"/>
      <x:c r="E82" s="6"/>
      <x:c r="F82" s="6"/>
      <x:c r="G82" s="6"/>
      <x:c r="H82" s="6"/>
      <x:c r="I82" s="6"/>
    </x:row>
    <x:row r="83">
      <x:c r="A83" s="7"/>
      <x:c r="B83" s="7"/>
      <x:c r="C83" s="6"/>
      <x:c r="D83" s="6"/>
      <x:c r="E83" s="6"/>
      <x:c r="F83" s="6"/>
      <x:c r="G83" s="6"/>
      <x:c r="H83" s="6"/>
      <x:c r="I83" s="6"/>
    </x:row>
    <x:row r="84">
      <x:c r="A84" s="7"/>
      <x:c r="B84" s="7"/>
      <x:c r="C84" s="6"/>
      <x:c r="D84" s="6"/>
      <x:c r="E84" s="6"/>
      <x:c r="F84" s="6"/>
      <x:c r="G84" s="6"/>
      <x:c r="H84" s="6"/>
      <x:c r="I84" s="6"/>
    </x:row>
    <x:row r="85">
      <x:c r="A85" s="7"/>
      <x:c r="B85" s="7"/>
      <x:c r="C85" s="6"/>
      <x:c r="D85" s="6"/>
      <x:c r="E85" s="6"/>
      <x:c r="F85" s="6"/>
      <x:c r="G85" s="6"/>
      <x:c r="H85" s="6"/>
      <x:c r="I85" s="6"/>
    </x:row>
    <x:row r="86">
      <x:c r="A86" s="7"/>
      <x:c r="B86" s="7"/>
      <x:c r="C86" s="6"/>
      <x:c r="D86" s="6"/>
      <x:c r="E86" s="6"/>
      <x:c r="F86" s="6"/>
      <x:c r="G86" s="6"/>
      <x:c r="H86" s="6"/>
      <x:c r="I86" s="6"/>
    </x:row>
    <x:row r="87">
      <x:c r="A87" s="7"/>
      <x:c r="B87" s="7"/>
      <x:c r="C87" s="6"/>
      <x:c r="D87" s="6"/>
      <x:c r="E87" s="6"/>
      <x:c r="F87" s="6"/>
      <x:c r="G87" s="6"/>
      <x:c r="H87" s="6"/>
      <x:c r="I87" s="6"/>
    </x:row>
    <x:row r="88">
      <x:c r="A88" s="7"/>
      <x:c r="B88" s="7"/>
      <x:c r="C88" s="6"/>
      <x:c r="D88" s="6"/>
      <x:c r="E88" s="6"/>
      <x:c r="F88" s="6"/>
      <x:c r="G88" s="6"/>
      <x:c r="H88" s="6"/>
      <x:c r="I88" s="6"/>
    </x:row>
    <x:row r="89">
      <x:c r="A89" s="7"/>
      <x:c r="B89" s="7"/>
      <x:c r="C89" s="6"/>
      <x:c r="D89" s="6"/>
      <x:c r="E89" s="6"/>
      <x:c r="F89" s="6"/>
      <x:c r="G89" s="6"/>
      <x:c r="H89" s="6"/>
      <x:c r="I89" s="6"/>
    </x:row>
    <x:row r="90">
      <x:c r="A90" s="7"/>
      <x:c r="B90" s="7"/>
      <x:c r="C90" s="6"/>
      <x:c r="D90" s="6"/>
      <x:c r="E90" s="6"/>
      <x:c r="F90" s="6"/>
      <x:c r="G90" s="6"/>
      <x:c r="H90" s="6"/>
      <x:c r="I90" s="6"/>
    </x:row>
    <x:row r="91">
      <x:c r="A91" s="7"/>
      <x:c r="B91" s="7"/>
      <x:c r="C91" s="6"/>
      <x:c r="D91" s="6"/>
      <x:c r="E91" s="6"/>
      <x:c r="F91" s="6"/>
      <x:c r="G91" s="6"/>
      <x:c r="H91" s="6"/>
      <x:c r="I91" s="6"/>
    </x:row>
    <x:row r="92">
      <x:c r="A92" s="7"/>
      <x:c r="B92" s="7"/>
      <x:c r="C92" s="6"/>
      <x:c r="D92" s="6"/>
      <x:c r="E92" s="6"/>
      <x:c r="F92" s="6"/>
      <x:c r="G92" s="6"/>
      <x:c r="H92" s="6"/>
      <x:c r="I92" s="6"/>
    </x:row>
    <x:row r="93">
      <x:c r="A93" s="7"/>
      <x:c r="B93" s="7"/>
      <x:c r="C93" s="6"/>
      <x:c r="D93" s="6"/>
      <x:c r="E93" s="6"/>
      <x:c r="F93" s="6"/>
      <x:c r="G93" s="6"/>
      <x:c r="H93" s="6"/>
      <x:c r="I93" s="6"/>
    </x:row>
    <x:row r="94">
      <x:c r="A94" s="7"/>
      <x:c r="B94" s="7"/>
      <x:c r="C94" s="6"/>
      <x:c r="D94" s="6"/>
      <x:c r="E94" s="6"/>
      <x:c r="F94" s="6"/>
      <x:c r="G94" s="6"/>
      <x:c r="H94" s="6"/>
      <x:c r="I94" s="6"/>
    </x:row>
    <x:row r="95">
      <x:c r="A95" s="7"/>
      <x:c r="B95" s="7"/>
      <x:c r="C95" s="6"/>
      <x:c r="D95" s="6"/>
      <x:c r="E95" s="6"/>
      <x:c r="F95" s="6"/>
      <x:c r="G95" s="6"/>
      <x:c r="H95" s="6"/>
      <x:c r="I95" s="6"/>
    </x:row>
    <x:row r="96">
      <x:c r="A96" s="7"/>
      <x:c r="B96" s="7"/>
      <x:c r="C96" s="6"/>
      <x:c r="D96" s="6"/>
      <x:c r="E96" s="6"/>
      <x:c r="F96" s="6"/>
      <x:c r="G96" s="6"/>
      <x:c r="H96" s="6"/>
      <x:c r="I96" s="6"/>
    </x:row>
    <x:row r="97">
      <x:c r="A97" s="7"/>
      <x:c r="B97" s="7"/>
      <x:c r="C97" s="6"/>
      <x:c r="D97" s="6"/>
      <x:c r="E97" s="6"/>
      <x:c r="F97" s="6"/>
      <x:c r="G97" s="6"/>
      <x:c r="H97" s="6"/>
      <x:c r="I97" s="6"/>
    </x:row>
    <x:row r="98">
      <x:c r="A98" s="7"/>
      <x:c r="B98" s="7"/>
      <x:c r="C98" s="6"/>
      <x:c r="D98" s="6"/>
      <x:c r="E98" s="6"/>
      <x:c r="F98" s="6"/>
      <x:c r="G98" s="6"/>
      <x:c r="H98" s="6"/>
      <x:c r="I98" s="6"/>
    </x:row>
    <x:row r="99">
      <x:c r="A99" s="7"/>
      <x:c r="B99" s="7"/>
      <x:c r="C99" s="6"/>
      <x:c r="D99" s="6"/>
      <x:c r="E99" s="6"/>
      <x:c r="F99" s="6"/>
      <x:c r="G99" s="6"/>
      <x:c r="H99" s="6"/>
      <x:c r="I99" s="6"/>
    </x:row>
    <x:row r="100">
      <x:c r="A100" s="7"/>
      <x:c r="B100" s="7"/>
      <x:c r="C100" s="6"/>
      <x:c r="D100" s="6"/>
      <x:c r="E100" s="6"/>
      <x:c r="F100" s="6"/>
      <x:c r="G100" s="6"/>
      <x:c r="H100" s="6"/>
      <x:c r="I100" s="6"/>
    </x:row>
    <x:row r="101">
      <x:c r="A101" s="7"/>
      <x:c r="B101" s="7"/>
      <x:c r="C101" s="6"/>
      <x:c r="D101" s="6"/>
      <x:c r="E101" s="6"/>
      <x:c r="F101" s="6"/>
      <x:c r="G101" s="6"/>
      <x:c r="H101" s="6"/>
      <x:c r="I101" s="6"/>
    </x:row>
    <x:row r="102">
      <x:c r="A102" s="7"/>
      <x:c r="B102" s="7"/>
      <x:c r="C102" s="6"/>
      <x:c r="D102" s="6"/>
      <x:c r="E102" s="6"/>
      <x:c r="F102" s="6"/>
      <x:c r="G102" s="6"/>
      <x:c r="H102" s="6"/>
      <x:c r="I102" s="6"/>
    </x:row>
    <x:row r="103">
      <x:c r="A103" s="7"/>
      <x:c r="B103" s="7"/>
      <x:c r="C103" s="6"/>
      <x:c r="D103" s="6"/>
      <x:c r="E103" s="6"/>
      <x:c r="F103" s="6"/>
      <x:c r="G103" s="6"/>
      <x:c r="H103" s="6"/>
      <x:c r="I103" s="6"/>
    </x:row>
    <x:row r="104">
      <x:c r="A104" s="7"/>
      <x:c r="B104" s="7"/>
      <x:c r="C104" s="6"/>
      <x:c r="D104" s="6"/>
      <x:c r="E104" s="6"/>
      <x:c r="F104" s="6"/>
      <x:c r="G104" s="6"/>
      <x:c r="H104" s="6"/>
      <x:c r="I104" s="6"/>
    </x:row>
    <x:row r="105">
      <x:c r="A105" s="7"/>
      <x:c r="B105" s="7"/>
      <x:c r="C105" s="6"/>
      <x:c r="D105" s="6"/>
      <x:c r="E105" s="6"/>
      <x:c r="F105" s="6"/>
      <x:c r="G105" s="6"/>
      <x:c r="H105" s="6"/>
      <x:c r="I105" s="6"/>
    </x:row>
    <x:row r="106">
      <x:c r="A106" s="7"/>
      <x:c r="B106" s="7"/>
      <x:c r="C106" s="6"/>
      <x:c r="D106" s="6"/>
      <x:c r="E106" s="6"/>
      <x:c r="F106" s="6"/>
      <x:c r="G106" s="6"/>
      <x:c r="H106" s="6"/>
      <x:c r="I106" s="6"/>
    </x:row>
    <x:row r="107">
      <x:c r="A107" s="7"/>
      <x:c r="B107" s="7"/>
      <x:c r="C107" s="6"/>
      <x:c r="D107" s="6"/>
      <x:c r="E107" s="6"/>
      <x:c r="F107" s="6"/>
      <x:c r="G107" s="6"/>
      <x:c r="H107" s="6"/>
      <x:c r="I107" s="6"/>
    </x:row>
    <x:row r="108">
      <x:c r="A108" s="7"/>
      <x:c r="B108" s="7"/>
      <x:c r="C108" s="6"/>
      <x:c r="D108" s="6"/>
      <x:c r="E108" s="6"/>
      <x:c r="F108" s="6"/>
      <x:c r="G108" s="6"/>
      <x:c r="H108" s="6"/>
      <x:c r="I108" s="6"/>
    </x:row>
    <x:row r="109">
      <x:c r="A109" s="7"/>
      <x:c r="B109" s="7"/>
      <x:c r="C109" s="6"/>
      <x:c r="D109" s="6"/>
      <x:c r="E109" s="6"/>
      <x:c r="F109" s="6"/>
      <x:c r="G109" s="6"/>
      <x:c r="H109" s="6"/>
      <x:c r="I109" s="6"/>
    </x:row>
    <x:row r="110">
      <x:c r="A110" s="7"/>
      <x:c r="B110" s="7"/>
      <x:c r="C110" s="6"/>
      <x:c r="D110" s="6"/>
      <x:c r="E110" s="6"/>
      <x:c r="F110" s="6"/>
      <x:c r="G110" s="6"/>
      <x:c r="H110" s="6"/>
      <x:c r="I110" s="6"/>
    </x:row>
    <x:row r="111">
      <x:c r="A111" s="7"/>
      <x:c r="B111" s="7"/>
      <x:c r="C111" s="6"/>
      <x:c r="D111" s="6"/>
      <x:c r="E111" s="6"/>
      <x:c r="F111" s="6"/>
      <x:c r="G111" s="6"/>
      <x:c r="H111" s="6"/>
      <x:c r="I111" s="6"/>
    </x:row>
    <x:row r="112">
      <x:c r="A112" s="7"/>
      <x:c r="B112" s="7"/>
      <x:c r="C112" s="6"/>
      <x:c r="D112" s="6"/>
      <x:c r="E112" s="6"/>
      <x:c r="F112" s="6"/>
      <x:c r="G112" s="6"/>
      <x:c r="H112" s="6"/>
      <x:c r="I112" s="6"/>
    </x:row>
    <x:row r="113">
      <x:c r="A113" s="7"/>
      <x:c r="B113" s="7"/>
      <x:c r="C113" s="6"/>
      <x:c r="D113" s="6"/>
      <x:c r="E113" s="6"/>
      <x:c r="F113" s="6"/>
      <x:c r="G113" s="6"/>
      <x:c r="H113" s="6"/>
      <x:c r="I113" s="6"/>
    </x:row>
    <x:row r="114">
      <x:c r="A114" s="7"/>
      <x:c r="B114" s="7"/>
      <x:c r="C114" s="6"/>
      <x:c r="D114" s="6"/>
      <x:c r="E114" s="6"/>
      <x:c r="F114" s="6"/>
      <x:c r="G114" s="6"/>
      <x:c r="H114" s="6"/>
      <x:c r="I114" s="6"/>
    </x:row>
    <x:row r="115">
      <x:c r="A115" s="7"/>
      <x:c r="B115" s="7"/>
      <x:c r="C115" s="6"/>
      <x:c r="D115" s="6"/>
      <x:c r="E115" s="6"/>
      <x:c r="F115" s="6"/>
      <x:c r="G115" s="6"/>
      <x:c r="H115" s="6"/>
      <x:c r="I115" s="6"/>
    </x:row>
    <x:row r="116">
      <x:c r="A116" s="7"/>
      <x:c r="B116" s="7"/>
      <x:c r="C116" s="6"/>
      <x:c r="D116" s="6"/>
      <x:c r="E116" s="6"/>
      <x:c r="F116" s="6"/>
      <x:c r="G116" s="6"/>
      <x:c r="H116" s="6"/>
      <x:c r="I116" s="6"/>
    </x:row>
    <x:row r="117">
      <x:c r="A117" s="7"/>
      <x:c r="B117" s="7"/>
      <x:c r="C117" s="6"/>
      <x:c r="D117" s="6"/>
      <x:c r="E117" s="6"/>
      <x:c r="F117" s="6"/>
      <x:c r="G117" s="6"/>
      <x:c r="H117" s="6"/>
      <x:c r="I117" s="6"/>
    </x:row>
    <x:row r="118">
      <x:c r="A118" s="7"/>
      <x:c r="B118" s="7"/>
      <x:c r="C118" s="6"/>
      <x:c r="D118" s="6"/>
      <x:c r="E118" s="6"/>
      <x:c r="F118" s="6"/>
      <x:c r="G118" s="6"/>
      <x:c r="H118" s="6"/>
      <x:c r="I118" s="6"/>
    </x:row>
    <x:row r="119">
      <x:c r="A119" s="7"/>
      <x:c r="B119" s="7"/>
      <x:c r="C119" s="6"/>
      <x:c r="D119" s="6"/>
      <x:c r="E119" s="6"/>
      <x:c r="F119" s="6"/>
      <x:c r="G119" s="6"/>
      <x:c r="H119" s="6"/>
      <x:c r="I119" s="6"/>
    </x:row>
    <x:row r="120">
      <x:c r="A120" s="7"/>
      <x:c r="B120" s="7"/>
      <x:c r="C120" s="6"/>
      <x:c r="D120" s="6"/>
      <x:c r="E120" s="6"/>
      <x:c r="F120" s="6"/>
      <x:c r="G120" s="6"/>
      <x:c r="H120" s="6"/>
      <x:c r="I120" s="6"/>
    </x:row>
    <x:row r="121">
      <x:c r="A121" s="7"/>
      <x:c r="B121" s="7"/>
      <x:c r="C121" s="6"/>
      <x:c r="D121" s="6"/>
      <x:c r="E121" s="6"/>
      <x:c r="F121" s="6"/>
      <x:c r="G121" s="6"/>
      <x:c r="H121" s="6"/>
      <x:c r="I121" s="6"/>
    </x:row>
    <x:row r="122">
      <x:c r="A122" s="7"/>
      <x:c r="B122" s="7"/>
      <x:c r="C122" s="6"/>
      <x:c r="D122" s="6"/>
      <x:c r="E122" s="6"/>
      <x:c r="F122" s="6"/>
      <x:c r="G122" s="6"/>
      <x:c r="H122" s="6"/>
      <x:c r="I122" s="6"/>
    </x:row>
    <x:row r="123">
      <x:c r="A123" s="7"/>
      <x:c r="B123" s="7"/>
      <x:c r="C123" s="6"/>
      <x:c r="D123" s="6"/>
      <x:c r="E123" s="6"/>
      <x:c r="F123" s="6"/>
      <x:c r="G123" s="6"/>
      <x:c r="H123" s="6"/>
      <x:c r="I123" s="6"/>
    </x:row>
    <x:row r="124">
      <x:c r="A124" s="7"/>
      <x:c r="B124" s="7"/>
      <x:c r="C124" s="6"/>
      <x:c r="D124" s="6"/>
      <x:c r="E124" s="6"/>
      <x:c r="F124" s="6"/>
      <x:c r="G124" s="6"/>
      <x:c r="H124" s="6"/>
      <x:c r="I124" s="6"/>
    </x:row>
    <x:row r="125">
      <x:c r="A125" s="7"/>
      <x:c r="B125" s="7"/>
      <x:c r="C125" s="6"/>
      <x:c r="D125" s="6"/>
      <x:c r="E125" s="6"/>
      <x:c r="F125" s="6"/>
      <x:c r="G125" s="6"/>
      <x:c r="H125" s="6"/>
      <x:c r="I125" s="6"/>
    </x:row>
    <x:row r="126">
      <x:c r="A126" s="7"/>
      <x:c r="B126" s="7"/>
      <x:c r="C126" s="6"/>
      <x:c r="D126" s="6"/>
      <x:c r="E126" s="6"/>
      <x:c r="F126" s="6"/>
      <x:c r="G126" s="6"/>
      <x:c r="H126" s="6"/>
      <x:c r="I126" s="6"/>
    </x:row>
    <x:row r="127">
      <x:c r="A127" s="7"/>
      <x:c r="B127" s="7"/>
      <x:c r="C127" s="6"/>
      <x:c r="D127" s="6"/>
      <x:c r="E127" s="6"/>
      <x:c r="F127" s="6"/>
      <x:c r="G127" s="6"/>
      <x:c r="H127" s="6"/>
      <x:c r="I127" s="6"/>
    </x:row>
    <x:row r="128">
      <x:c r="A128" s="7"/>
      <x:c r="B128" s="7"/>
      <x:c r="C128" s="6"/>
      <x:c r="D128" s="6"/>
      <x:c r="E128" s="6"/>
      <x:c r="F128" s="6"/>
      <x:c r="G128" s="6"/>
      <x:c r="H128" s="6"/>
      <x:c r="I128" s="6"/>
    </x:row>
    <x:row r="129">
      <x:c r="A129" s="7"/>
      <x:c r="B129" s="7"/>
      <x:c r="C129" s="6"/>
      <x:c r="D129" s="6"/>
      <x:c r="E129" s="6"/>
      <x:c r="F129" s="6"/>
      <x:c r="G129" s="6"/>
      <x:c r="H129" s="6"/>
      <x:c r="I129" s="6"/>
    </x:row>
    <x:row r="130">
      <x:c r="A130" s="7"/>
      <x:c r="B130" s="7"/>
      <x:c r="C130" s="6"/>
      <x:c r="D130" s="6"/>
      <x:c r="E130" s="6"/>
      <x:c r="F130" s="6"/>
      <x:c r="G130" s="6"/>
      <x:c r="H130" s="6"/>
      <x:c r="I130" s="6"/>
    </x:row>
    <x:row r="131">
      <x:c r="A131" s="7"/>
      <x:c r="B131" s="7"/>
      <x:c r="C131" s="6"/>
      <x:c r="D131" s="6"/>
      <x:c r="E131" s="6"/>
      <x:c r="F131" s="6"/>
      <x:c r="G131" s="6"/>
      <x:c r="H131" s="6"/>
      <x:c r="I131" s="6"/>
    </x:row>
    <x:row r="132">
      <x:c r="A132" s="7"/>
      <x:c r="B132" s="7"/>
      <x:c r="C132" s="6"/>
      <x:c r="D132" s="6"/>
      <x:c r="E132" s="6"/>
      <x:c r="F132" s="6"/>
      <x:c r="G132" s="6"/>
      <x:c r="H132" s="6"/>
      <x:c r="I132" s="6"/>
    </x:row>
    <x:row r="133">
      <x:c r="A133" s="7"/>
      <x:c r="B133" s="7"/>
      <x:c r="C133" s="6"/>
      <x:c r="D133" s="6"/>
      <x:c r="E133" s="6"/>
      <x:c r="F133" s="6"/>
      <x:c r="G133" s="6"/>
      <x:c r="H133" s="6"/>
      <x:c r="I133" s="6"/>
    </x:row>
    <x:row r="134">
      <x:c r="A134" s="7"/>
      <x:c r="B134" s="7"/>
      <x:c r="C134" s="6"/>
      <x:c r="D134" s="6"/>
      <x:c r="E134" s="6"/>
      <x:c r="F134" s="6"/>
      <x:c r="G134" s="6"/>
      <x:c r="H134" s="6"/>
      <x:c r="I134" s="6"/>
    </x:row>
    <x:row r="135">
      <x:c r="A135" s="7"/>
      <x:c r="B135" s="7"/>
      <x:c r="C135" s="6"/>
      <x:c r="D135" s="6"/>
      <x:c r="E135" s="6"/>
      <x:c r="F135" s="6"/>
      <x:c r="G135" s="6"/>
      <x:c r="H135" s="6"/>
      <x:c r="I135" s="6"/>
    </x:row>
    <x:row r="136">
      <x:c r="A136" s="7"/>
      <x:c r="B136" s="7"/>
      <x:c r="C136" s="6"/>
      <x:c r="D136" s="6"/>
      <x:c r="E136" s="6"/>
      <x:c r="F136" s="6"/>
      <x:c r="G136" s="6"/>
      <x:c r="H136" s="6"/>
      <x:c r="I136" s="6"/>
    </x:row>
    <x:row r="137">
      <x:c r="A137" s="7"/>
      <x:c r="B137" s="7"/>
      <x:c r="C137" s="6"/>
      <x:c r="D137" s="6"/>
      <x:c r="E137" s="6"/>
      <x:c r="F137" s="6"/>
      <x:c r="G137" s="6"/>
      <x:c r="H137" s="6"/>
      <x:c r="I137" s="6"/>
    </x:row>
    <x:row r="138">
      <x:c r="A138" s="7"/>
      <x:c r="B138" s="7"/>
      <x:c r="C138" s="6"/>
      <x:c r="D138" s="6"/>
      <x:c r="E138" s="6"/>
      <x:c r="F138" s="6"/>
      <x:c r="G138" s="6"/>
      <x:c r="H138" s="6"/>
      <x:c r="I138" s="6"/>
    </x:row>
    <x:row r="139">
      <x:c r="A139" s="7"/>
      <x:c r="B139" s="7"/>
      <x:c r="C139" s="6"/>
      <x:c r="D139" s="6"/>
      <x:c r="E139" s="6"/>
      <x:c r="F139" s="6"/>
      <x:c r="G139" s="6"/>
      <x:c r="H139" s="6"/>
      <x:c r="I139" s="6"/>
    </x:row>
    <x:row r="140">
      <x:c r="A140" s="7"/>
      <x:c r="B140" s="7"/>
      <x:c r="C140" s="6"/>
      <x:c r="D140" s="6"/>
      <x:c r="E140" s="6"/>
      <x:c r="F140" s="6"/>
      <x:c r="G140" s="6"/>
      <x:c r="H140" s="6"/>
      <x:c r="I140" s="6"/>
    </x:row>
    <x:row r="141">
      <x:c r="A141" s="7"/>
      <x:c r="B141" s="7"/>
      <x:c r="C141" s="6"/>
      <x:c r="D141" s="6"/>
      <x:c r="E141" s="6"/>
      <x:c r="F141" s="6"/>
      <x:c r="G141" s="6"/>
      <x:c r="H141" s="6"/>
      <x:c r="I141" s="6"/>
    </x:row>
    <x:row r="142">
      <x:c r="A142" s="7"/>
      <x:c r="B142" s="7"/>
      <x:c r="C142" s="6"/>
      <x:c r="D142" s="6"/>
      <x:c r="E142" s="6"/>
      <x:c r="F142" s="6"/>
      <x:c r="G142" s="6"/>
      <x:c r="H142" s="6"/>
      <x:c r="I142" s="6"/>
    </x:row>
    <x:row r="143">
      <x:c r="A143" s="7"/>
      <x:c r="B143" s="7"/>
      <x:c r="C143" s="6"/>
      <x:c r="D143" s="6"/>
      <x:c r="E143" s="6"/>
      <x:c r="F143" s="6"/>
      <x:c r="G143" s="6"/>
      <x:c r="H143" s="6"/>
      <x:c r="I143" s="6"/>
    </x:row>
    <x:row r="144">
      <x:c r="A144" s="7"/>
      <x:c r="B144" s="7"/>
      <x:c r="C144" s="6"/>
      <x:c r="D144" s="6"/>
      <x:c r="E144" s="6"/>
      <x:c r="F144" s="6"/>
      <x:c r="G144" s="6"/>
      <x:c r="H144" s="6"/>
      <x:c r="I144" s="6"/>
    </x:row>
    <x:row r="145">
      <x:c r="A145" s="7"/>
      <x:c r="B145" s="7"/>
      <x:c r="C145" s="6"/>
      <x:c r="D145" s="6"/>
      <x:c r="E145" s="6"/>
      <x:c r="F145" s="6"/>
      <x:c r="G145" s="6"/>
      <x:c r="H145" s="6"/>
      <x:c r="I145" s="6"/>
    </x:row>
    <x:row r="146">
      <x:c r="A146" s="7"/>
      <x:c r="B146" s="7"/>
      <x:c r="C146" s="6"/>
      <x:c r="D146" s="6"/>
      <x:c r="E146" s="6"/>
      <x:c r="F146" s="6"/>
      <x:c r="G146" s="6"/>
      <x:c r="H146" s="6"/>
      <x:c r="I146" s="6"/>
    </x:row>
    <x:row r="147">
      <x:c r="A147" s="7"/>
      <x:c r="B147" s="7"/>
      <x:c r="C147" s="6"/>
      <x:c r="D147" s="6"/>
      <x:c r="E147" s="6"/>
      <x:c r="F147" s="6"/>
      <x:c r="G147" s="6"/>
      <x:c r="H147" s="6"/>
      <x:c r="I147" s="6"/>
    </x:row>
    <x:row r="148">
      <x:c r="A148" s="7"/>
      <x:c r="B148" s="7"/>
      <x:c r="C148" s="6"/>
      <x:c r="D148" s="6"/>
      <x:c r="E148" s="6"/>
      <x:c r="F148" s="6"/>
      <x:c r="G148" s="6"/>
      <x:c r="H148" s="6"/>
      <x:c r="I148" s="6"/>
    </x:row>
    <x:row r="149">
      <x:c r="A149" s="7"/>
      <x:c r="B149" s="7"/>
      <x:c r="C149" s="6"/>
      <x:c r="D149" s="6"/>
      <x:c r="E149" s="6"/>
      <x:c r="F149" s="6"/>
      <x:c r="G149" s="6"/>
      <x:c r="H149" s="6"/>
      <x:c r="I149" s="6"/>
    </x:row>
    <x:row r="150">
      <x:c r="A150" s="7"/>
      <x:c r="B150" s="7"/>
      <x:c r="C150" s="6"/>
      <x:c r="D150" s="6"/>
      <x:c r="E150" s="6"/>
      <x:c r="F150" s="6"/>
      <x:c r="G150" s="6"/>
      <x:c r="H150" s="6"/>
      <x:c r="I150" s="6"/>
    </x:row>
    <x:row r="151">
      <x:c r="A151" s="7"/>
      <x:c r="B151" s="7"/>
      <x:c r="C151" s="6"/>
      <x:c r="D151" s="6"/>
      <x:c r="E151" s="6"/>
      <x:c r="F151" s="6"/>
      <x:c r="G151" s="6"/>
      <x:c r="H151" s="6"/>
      <x:c r="I151" s="6"/>
    </x:row>
    <x:row r="152">
      <x:c r="A152" s="7"/>
      <x:c r="B152" s="7"/>
      <x:c r="C152" s="6"/>
      <x:c r="D152" s="6"/>
      <x:c r="E152" s="6"/>
      <x:c r="F152" s="6"/>
      <x:c r="G152" s="6"/>
      <x:c r="H152" s="6"/>
      <x:c r="I152" s="6"/>
    </x:row>
    <x:row r="153">
      <x:c r="A153" s="7"/>
      <x:c r="B153" s="7"/>
      <x:c r="C153" s="6"/>
      <x:c r="D153" s="6"/>
      <x:c r="E153" s="6"/>
      <x:c r="F153" s="6"/>
      <x:c r="G153" s="6"/>
      <x:c r="H153" s="6"/>
      <x:c r="I153" s="6"/>
    </x:row>
    <x:row r="154">
      <x:c r="A154" s="7"/>
      <x:c r="B154" s="7"/>
      <x:c r="C154" s="6"/>
      <x:c r="D154" s="6"/>
      <x:c r="E154" s="6"/>
      <x:c r="F154" s="6"/>
      <x:c r="G154" s="6"/>
      <x:c r="H154" s="6"/>
      <x:c r="I154" s="6"/>
    </x:row>
    <x:row r="155">
      <x:c r="A155" s="7"/>
      <x:c r="B155" s="7"/>
      <x:c r="C155" s="6"/>
      <x:c r="D155" s="6"/>
      <x:c r="E155" s="6"/>
      <x:c r="F155" s="6"/>
      <x:c r="G155" s="6"/>
      <x:c r="H155" s="6"/>
      <x:c r="I155" s="6"/>
    </x:row>
    <x:row r="156">
      <x:c r="A156" s="7"/>
      <x:c r="B156" s="7"/>
      <x:c r="C156" s="6"/>
      <x:c r="D156" s="6"/>
      <x:c r="E156" s="6"/>
      <x:c r="F156" s="6"/>
      <x:c r="G156" s="6"/>
      <x:c r="H156" s="6"/>
      <x:c r="I156" s="6"/>
    </x:row>
    <x:row r="157">
      <x:c r="A157" s="7"/>
      <x:c r="B157" s="7"/>
      <x:c r="C157" s="6"/>
      <x:c r="D157" s="6"/>
      <x:c r="E157" s="6"/>
      <x:c r="F157" s="6"/>
      <x:c r="G157" s="6"/>
      <x:c r="H157" s="6"/>
      <x:c r="I157" s="6"/>
    </x:row>
    <x:row r="158">
      <x:c r="A158" s="7"/>
      <x:c r="B158" s="7"/>
      <x:c r="C158" s="6"/>
      <x:c r="D158" s="6"/>
      <x:c r="E158" s="6"/>
      <x:c r="F158" s="6"/>
      <x:c r="G158" s="6"/>
      <x:c r="H158" s="6"/>
      <x:c r="I158" s="6"/>
    </x:row>
    <x:row r="159">
      <x:c r="A159" s="7"/>
      <x:c r="B159" s="7"/>
      <x:c r="C159" s="6"/>
      <x:c r="D159" s="6"/>
      <x:c r="E159" s="6"/>
      <x:c r="F159" s="6"/>
      <x:c r="G159" s="6"/>
      <x:c r="H159" s="6"/>
      <x:c r="I159" s="6"/>
    </x:row>
    <x:row r="160">
      <x:c r="A160" s="7"/>
      <x:c r="B160" s="7"/>
      <x:c r="C160" s="6"/>
      <x:c r="D160" s="6"/>
      <x:c r="E160" s="6"/>
      <x:c r="F160" s="6"/>
      <x:c r="G160" s="6"/>
      <x:c r="H160" s="6"/>
      <x:c r="I160" s="6"/>
    </x:row>
    <x:row r="161">
      <x:c r="A161" s="7"/>
      <x:c r="B161" s="7"/>
      <x:c r="C161" s="6"/>
      <x:c r="D161" s="6"/>
      <x:c r="E161" s="6"/>
      <x:c r="F161" s="6"/>
      <x:c r="G161" s="6"/>
      <x:c r="H161" s="6"/>
      <x:c r="I161" s="6"/>
    </x:row>
    <x:row r="162">
      <x:c r="A162" s="7"/>
      <x:c r="B162" s="7"/>
      <x:c r="C162" s="6"/>
      <x:c r="D162" s="6"/>
      <x:c r="E162" s="6"/>
      <x:c r="F162" s="6"/>
      <x:c r="G162" s="6"/>
      <x:c r="H162" s="6"/>
      <x:c r="I162" s="6"/>
    </x:row>
    <x:row r="163">
      <x:c r="A163" s="7"/>
      <x:c r="B163" s="7"/>
      <x:c r="C163" s="6"/>
      <x:c r="D163" s="6"/>
      <x:c r="E163" s="6"/>
      <x:c r="F163" s="6"/>
      <x:c r="G163" s="6"/>
      <x:c r="H163" s="6"/>
      <x:c r="I163" s="6"/>
    </x:row>
    <x:row r="164">
      <x:c r="A164" s="7"/>
      <x:c r="B164" s="7"/>
      <x:c r="C164" s="6"/>
      <x:c r="D164" s="6"/>
      <x:c r="E164" s="6"/>
      <x:c r="F164" s="6"/>
      <x:c r="G164" s="6"/>
      <x:c r="H164" s="6"/>
      <x:c r="I164" s="6"/>
    </x:row>
    <x:row r="165">
      <x:c r="A165" s="7"/>
      <x:c r="B165" s="7"/>
      <x:c r="C165" s="6"/>
      <x:c r="D165" s="6"/>
      <x:c r="E165" s="6"/>
      <x:c r="F165" s="6"/>
      <x:c r="G165" s="6"/>
      <x:c r="H165" s="6"/>
      <x:c r="I165" s="6"/>
    </x:row>
    <x:row r="166">
      <x:c r="A166" s="7"/>
      <x:c r="B166" s="7"/>
      <x:c r="C166" s="6"/>
      <x:c r="D166" s="6"/>
      <x:c r="E166" s="6"/>
      <x:c r="F166" s="6"/>
      <x:c r="G166" s="6"/>
      <x:c r="H166" s="6"/>
      <x:c r="I166" s="6"/>
    </x:row>
    <x:row r="167">
      <x:c r="A167" s="7"/>
      <x:c r="B167" s="7"/>
      <x:c r="C167" s="6"/>
      <x:c r="D167" s="6"/>
      <x:c r="E167" s="6"/>
      <x:c r="F167" s="6"/>
      <x:c r="G167" s="6"/>
      <x:c r="H167" s="6"/>
      <x:c r="I167" s="6"/>
    </x:row>
    <x:row r="168">
      <x:c r="A168" s="7"/>
      <x:c r="B168" s="7"/>
      <x:c r="C168" s="6"/>
      <x:c r="D168" s="6"/>
      <x:c r="E168" s="6"/>
      <x:c r="F168" s="6"/>
      <x:c r="G168" s="6"/>
      <x:c r="H168" s="6"/>
      <x:c r="I168" s="6"/>
    </x:row>
    <x:row r="169">
      <x:c r="A169" s="7"/>
      <x:c r="B169" s="7"/>
      <x:c r="C169" s="6"/>
      <x:c r="D169" s="6"/>
      <x:c r="E169" s="6"/>
      <x:c r="F169" s="6"/>
      <x:c r="G169" s="6"/>
      <x:c r="H169" s="6"/>
      <x:c r="I169" s="6"/>
    </x:row>
    <x:row r="170">
      <x:c r="A170" s="7"/>
      <x:c r="B170" s="7"/>
      <x:c r="C170" s="6"/>
      <x:c r="D170" s="6"/>
      <x:c r="E170" s="6"/>
      <x:c r="F170" s="6"/>
      <x:c r="G170" s="6"/>
      <x:c r="H170" s="6"/>
      <x:c r="I170" s="6"/>
    </x:row>
    <x:row r="171">
      <x:c r="A171" s="7"/>
      <x:c r="B171" s="7"/>
      <x:c r="C171" s="6"/>
      <x:c r="D171" s="6"/>
      <x:c r="E171" s="6"/>
      <x:c r="F171" s="6"/>
      <x:c r="G171" s="6"/>
      <x:c r="H171" s="6"/>
      <x:c r="I171" s="6"/>
    </x:row>
    <x:row r="172">
      <x:c r="A172" s="7"/>
      <x:c r="B172" s="7"/>
      <x:c r="C172" s="6"/>
      <x:c r="D172" s="6"/>
      <x:c r="E172" s="6"/>
      <x:c r="F172" s="6"/>
      <x:c r="G172" s="6"/>
      <x:c r="H172" s="6"/>
      <x:c r="I172" s="6"/>
    </x:row>
    <x:row r="173">
      <x:c r="A173" s="7"/>
      <x:c r="B173" s="7"/>
      <x:c r="C173" s="6"/>
      <x:c r="D173" s="6"/>
      <x:c r="E173" s="6"/>
      <x:c r="F173" s="6"/>
      <x:c r="G173" s="6"/>
      <x:c r="H173" s="6"/>
      <x:c r="I173" s="6"/>
    </x:row>
    <x:row r="174">
      <x:c r="A174" s="7"/>
      <x:c r="B174" s="7"/>
      <x:c r="C174" s="6"/>
      <x:c r="D174" s="6"/>
      <x:c r="E174" s="6"/>
      <x:c r="F174" s="6"/>
      <x:c r="G174" s="6"/>
      <x:c r="H174" s="6"/>
      <x:c r="I174" s="6"/>
    </x:row>
    <x:row r="175">
      <x:c r="A175" s="7"/>
      <x:c r="B175" s="7"/>
      <x:c r="C175" s="6"/>
      <x:c r="D175" s="6"/>
      <x:c r="E175" s="6"/>
      <x:c r="F175" s="6"/>
      <x:c r="G175" s="6"/>
      <x:c r="H175" s="6"/>
      <x:c r="I175" s="6"/>
    </x:row>
    <x:row r="176">
      <x:c r="A176" s="7"/>
      <x:c r="B176" s="7"/>
      <x:c r="C176" s="6"/>
      <x:c r="D176" s="6"/>
      <x:c r="E176" s="6"/>
      <x:c r="F176" s="6"/>
      <x:c r="G176" s="6"/>
      <x:c r="H176" s="6"/>
      <x:c r="I176" s="6"/>
    </x:row>
    <x:row r="177">
      <x:c r="A177" s="7"/>
      <x:c r="B177" s="7"/>
      <x:c r="C177" s="6"/>
      <x:c r="D177" s="6"/>
      <x:c r="E177" s="6"/>
      <x:c r="F177" s="6"/>
      <x:c r="G177" s="6"/>
      <x:c r="H177" s="6"/>
      <x:c r="I177" s="6"/>
    </x:row>
    <x:row r="178">
      <x:c r="A178" s="7"/>
      <x:c r="B178" s="7"/>
      <x:c r="C178" s="6"/>
      <x:c r="D178" s="6"/>
      <x:c r="E178" s="6"/>
      <x:c r="F178" s="6"/>
      <x:c r="G178" s="6"/>
      <x:c r="H178" s="6"/>
      <x:c r="I178" s="6"/>
    </x:row>
    <x:row r="179">
      <x:c r="A179" s="7"/>
      <x:c r="B179" s="7"/>
      <x:c r="C179" s="6"/>
      <x:c r="D179" s="6"/>
      <x:c r="E179" s="6"/>
      <x:c r="F179" s="6"/>
      <x:c r="G179" s="6"/>
      <x:c r="H179" s="6"/>
      <x:c r="I179" s="6"/>
    </x:row>
    <x:row r="180">
      <x:c r="A180" s="7"/>
      <x:c r="B180" s="7"/>
      <x:c r="C180" s="6"/>
      <x:c r="D180" s="6"/>
      <x:c r="E180" s="6"/>
      <x:c r="F180" s="6"/>
      <x:c r="G180" s="6"/>
      <x:c r="H180" s="6"/>
      <x:c r="I180" s="6"/>
    </x:row>
    <x:row r="181">
      <x:c r="A181" s="7"/>
      <x:c r="B181" s="7"/>
      <x:c r="C181" s="6"/>
      <x:c r="D181" s="6"/>
      <x:c r="E181" s="6"/>
      <x:c r="F181" s="6"/>
      <x:c r="G181" s="6"/>
      <x:c r="H181" s="6"/>
      <x:c r="I181" s="6"/>
    </x:row>
    <x:row r="182">
      <x:c r="A182" s="7"/>
      <x:c r="B182" s="7"/>
      <x:c r="C182" s="6"/>
      <x:c r="D182" s="6"/>
      <x:c r="E182" s="6"/>
      <x:c r="F182" s="6"/>
      <x:c r="G182" s="6"/>
      <x:c r="H182" s="6"/>
      <x:c r="I182" s="6"/>
    </x:row>
    <x:row r="183">
      <x:c r="A183" s="7"/>
      <x:c r="B183" s="7"/>
      <x:c r="C183" s="6"/>
      <x:c r="D183" s="6"/>
      <x:c r="E183" s="6"/>
      <x:c r="F183" s="6"/>
      <x:c r="G183" s="6"/>
      <x:c r="H183" s="6"/>
      <x:c r="I183" s="6"/>
    </x:row>
    <x:row r="184">
      <x:c r="A184" s="7"/>
      <x:c r="B184" s="7"/>
      <x:c r="C184" s="6"/>
      <x:c r="D184" s="6"/>
      <x:c r="E184" s="6"/>
      <x:c r="F184" s="6"/>
      <x:c r="G184" s="6"/>
      <x:c r="H184" s="6"/>
      <x:c r="I184" s="6"/>
    </x:row>
    <x:row r="185">
      <x:c r="A185" s="7"/>
      <x:c r="B185" s="7"/>
      <x:c r="C185" s="6"/>
      <x:c r="D185" s="6"/>
      <x:c r="E185" s="6"/>
      <x:c r="F185" s="6"/>
      <x:c r="G185" s="6"/>
      <x:c r="H185" s="6"/>
      <x:c r="I185" s="6"/>
    </x:row>
    <x:row r="186">
      <x:c r="A186" s="7"/>
      <x:c r="B186" s="7"/>
      <x:c r="C186" s="6"/>
      <x:c r="D186" s="6"/>
      <x:c r="E186" s="6"/>
      <x:c r="F186" s="6"/>
      <x:c r="G186" s="6"/>
      <x:c r="H186" s="6"/>
      <x:c r="I186" s="6"/>
    </x:row>
    <x:row r="187">
      <x:c r="A187" s="7"/>
      <x:c r="B187" s="7"/>
      <x:c r="C187" s="6"/>
      <x:c r="D187" s="6"/>
      <x:c r="E187" s="6"/>
      <x:c r="F187" s="6"/>
      <x:c r="G187" s="6"/>
      <x:c r="H187" s="6"/>
      <x:c r="I187" s="6"/>
    </x:row>
    <x:row r="188">
      <x:c r="A188" s="7"/>
      <x:c r="B188" s="7"/>
      <x:c r="C188" s="6"/>
      <x:c r="D188" s="6"/>
      <x:c r="E188" s="6"/>
      <x:c r="F188" s="6"/>
      <x:c r="G188" s="6"/>
      <x:c r="H188" s="6"/>
      <x:c r="I188" s="6"/>
    </x:row>
    <x:row r="189">
      <x:c r="A189" s="7"/>
      <x:c r="B189" s="7"/>
      <x:c r="C189" s="6"/>
      <x:c r="D189" s="6"/>
      <x:c r="E189" s="6"/>
      <x:c r="F189" s="6"/>
      <x:c r="G189" s="6"/>
      <x:c r="H189" s="6"/>
      <x:c r="I189" s="6"/>
    </x:row>
    <x:row r="190">
      <x:c r="A190" s="7"/>
      <x:c r="B190" s="7"/>
      <x:c r="C190" s="6"/>
      <x:c r="D190" s="6"/>
      <x:c r="E190" s="6"/>
      <x:c r="F190" s="6"/>
      <x:c r="G190" s="6"/>
      <x:c r="H190" s="6"/>
      <x:c r="I190" s="6"/>
    </x:row>
    <x:row r="191">
      <x:c r="A191" s="7"/>
      <x:c r="B191" s="7"/>
      <x:c r="C191" s="6"/>
      <x:c r="D191" s="6"/>
      <x:c r="E191" s="6"/>
      <x:c r="F191" s="6"/>
      <x:c r="G191" s="6"/>
      <x:c r="H191" s="6"/>
      <x:c r="I191" s="6"/>
    </x:row>
    <x:row r="192">
      <x:c r="A192" s="7"/>
      <x:c r="B192" s="7"/>
      <x:c r="C192" s="6"/>
      <x:c r="D192" s="6"/>
      <x:c r="E192" s="6"/>
      <x:c r="F192" s="6"/>
      <x:c r="G192" s="6"/>
      <x:c r="H192" s="6"/>
      <x:c r="I192" s="6"/>
    </x:row>
    <x:row r="193">
      <x:c r="A193" s="7"/>
      <x:c r="B193" s="7"/>
      <x:c r="C193" s="6"/>
      <x:c r="D193" s="6"/>
      <x:c r="E193" s="6"/>
      <x:c r="F193" s="6"/>
      <x:c r="G193" s="6"/>
      <x:c r="H193" s="6"/>
      <x:c r="I193" s="6"/>
    </x:row>
    <x:row r="194">
      <x:c r="A194" s="7"/>
      <x:c r="B194" s="7"/>
      <x:c r="C194" s="6"/>
      <x:c r="D194" s="6"/>
      <x:c r="E194" s="6"/>
      <x:c r="F194" s="6"/>
      <x:c r="G194" s="6"/>
      <x:c r="H194" s="6"/>
      <x:c r="I194" s="6"/>
    </x:row>
    <x:row r="195">
      <x:c r="A195" s="7"/>
      <x:c r="B195" s="7"/>
      <x:c r="C195" s="6"/>
      <x:c r="D195" s="6"/>
      <x:c r="E195" s="6"/>
      <x:c r="F195" s="6"/>
      <x:c r="G195" s="6"/>
      <x:c r="H195" s="6"/>
      <x:c r="I195" s="6"/>
    </x:row>
    <x:row r="196">
      <x:c r="A196" s="7"/>
      <x:c r="B196" s="7"/>
      <x:c r="C196" s="6"/>
      <x:c r="D196" s="6"/>
      <x:c r="E196" s="6"/>
      <x:c r="F196" s="6"/>
      <x:c r="G196" s="6"/>
      <x:c r="H196" s="6"/>
      <x:c r="I196" s="6"/>
    </x:row>
    <x:row r="197">
      <x:c r="A197" s="7"/>
      <x:c r="B197" s="7"/>
      <x:c r="C197" s="6"/>
      <x:c r="D197" s="6"/>
      <x:c r="E197" s="6"/>
      <x:c r="F197" s="6"/>
      <x:c r="G197" s="6"/>
      <x:c r="H197" s="6"/>
      <x:c r="I197" s="6"/>
    </x:row>
    <x:row r="198">
      <x:c r="A198" s="7"/>
      <x:c r="B198" s="7"/>
      <x:c r="C198" s="6"/>
      <x:c r="D198" s="6"/>
      <x:c r="E198" s="6"/>
      <x:c r="F198" s="6"/>
      <x:c r="G198" s="6"/>
      <x:c r="H198" s="6"/>
      <x:c r="I198" s="6"/>
    </x:row>
    <x:row r="199">
      <x:c r="A199" s="7"/>
      <x:c r="B199" s="7"/>
      <x:c r="C199" s="6"/>
      <x:c r="D199" s="6"/>
      <x:c r="E199" s="6"/>
      <x:c r="F199" s="6"/>
      <x:c r="G199" s="6"/>
      <x:c r="H199" s="6"/>
      <x:c r="I199" s="6"/>
    </x:row>
    <x:row r="200">
      <x:c r="A200" s="7"/>
      <x:c r="B200" s="7"/>
      <x:c r="C200" s="6"/>
      <x:c r="D200" s="6"/>
      <x:c r="E200" s="6"/>
      <x:c r="F200" s="6"/>
      <x:c r="G200" s="6"/>
      <x:c r="H200" s="6"/>
      <x:c r="I200" s="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9" hidden="0" customWidth="1"/>
    <x:col min="4" max="4" width="20" hidden="0" customWidth="1"/>
    <x:col min="5" max="5" width="23" hidden="0" customWidth="1"/>
    <x:col min="6" max="6" width="62" hidden="0" customWidth="1"/>
    <x:col min="7" max="7" width="28" hidden="0" customWidth="1"/>
    <x:col min="8" max="8" width="66" hidden="0" customWidth="1"/>
    <x:col min="9" max="9" width="58" hidden="0" customWidth="1"/>
  </x:cols>
  <x:sheetData>
    <x:row r="1" ht="25" customHeight="1">
      <x:c r="A1" s="7"/>
      <x:c r="B1" s="7"/>
      <x:c r="C1" s="121" t="str">
        <x:v>Sources and checks</x:v>
      </x:c>
      <x:c r="D1" s="121"/>
      <x:c r="E1" s="121"/>
      <x:c r="F1" s="121"/>
      <x:c r="G1" s="121"/>
      <x:c r="H1" s="121"/>
      <x:c r="I1" s="121"/>
      <x:c r="J1" s="121"/>
    </x:row>
    <x:row r="2">
      <x:c r="A2" s="7"/>
      <x:c r="B2" s="7"/>
      <x:c r="C2" s="122" t="str">
        <x:v>Sources sit beside the data they support. An unavailable check is not treated as a passing result.</x:v>
      </x:c>
      <x:c r="D2" s="122"/>
      <x:c r="E2" s="122"/>
      <x:c r="F2" s="122"/>
      <x:c r="G2" s="122"/>
      <x:c r="H2" s="122"/>
      <x:c r="I2" s="122"/>
      <x:c r="J2" s="122"/>
    </x:row>
    <x:row r="3">
      <x:c r="A3" s="7"/>
      <x:c r="B3" s="7"/>
      <x:c r="C3" s="19"/>
      <x:c r="D3" s="19"/>
      <x:c r="E3" s="19"/>
      <x:c r="F3" s="19"/>
      <x:c r="G3" s="19"/>
      <x:c r="H3" s="19"/>
      <x:c r="I3" s="19"/>
      <x:c r="J3" s="19"/>
    </x:row>
    <x:row r="4">
      <x:c r="A4" s="7"/>
      <x:c r="B4" s="7"/>
      <x:c r="C4" s="19"/>
      <x:c r="D4" s="19"/>
      <x:c r="E4" s="19"/>
      <x:c r="F4" s="19"/>
      <x:c r="G4" s="19"/>
      <x:c r="H4" s="19"/>
      <x:c r="I4" s="19"/>
      <x:c r="J4" s="19"/>
    </x:row>
    <x:row r="5" ht="30" customHeight="1">
      <x:c r="A5" s="7"/>
      <x:c r="B5" s="7"/>
      <x:c r="C5" s="18" t="str">
        <x:v>Source ID</x:v>
      </x:c>
      <x:c r="D5" s="18" t="str">
        <x:v>Source or record</x:v>
      </x:c>
      <x:c r="E5" s="18" t="str">
        <x:v>Type</x:v>
      </x:c>
      <x:c r="F5" s="18" t="str">
        <x:v>Period / date</x:v>
      </x:c>
      <x:c r="G5" s="18" t="str">
        <x:v>Entity / scope</x:v>
      </x:c>
      <x:c r="H5" s="18" t="str">
        <x:v>URL or location</x:v>
      </x:c>
      <x:c r="I5" s="18" t="str">
        <x:v>Use and limits</x:v>
      </x:c>
      <x:c r="J5" s="19"/>
    </x:row>
    <x:row r="6">
      <x:c r="A6" s="7"/>
      <x:c r="B6" s="7"/>
      <x:c r="C6" s="20" t="str">
        <x:v>ATBD-25</x:v>
      </x:c>
      <x:c r="D6" s="23" t="str">
        <x:v>2025 in review: Mapping the money</x:v>
      </x:c>
      <x:c r="E6" s="20" t="str">
        <x:v>Tracker publication</x:v>
      </x:c>
      <x:c r="F6" s="20" t="str">
        <x:v>Calendar 2025</x:v>
      </x:c>
      <x:c r="G6" s="20" t="str">
        <x:v>Kenya; source-defined</x:v>
      </x:c>
      <x:c r="H6" s="23" t="str">
        <x:v>https://thebigdeal.substack.com/p/2025ir2</x:v>
      </x:c>
      <x:c r="I6" s="23" t="str">
        <x:v>Almost US$1bn; debt, equity and company-count claims; preserve provider definitions.</x:v>
      </x:c>
      <x:c r="J6" s="19"/>
    </x:row>
    <x:row r="7">
      <x:c r="A7" s="7"/>
      <x:c r="B7" s="7"/>
      <x:c r="C7" s="21" t="str">
        <x:v>ATBD-H125</x:v>
      </x:c>
      <x:c r="D7" s="24" t="str">
        <x:v>Start-up funding in Africa: H1 2025</x:v>
      </x:c>
      <x:c r="E7" s="21" t="str">
        <x:v>Tracker report</x:v>
      </x:c>
      <x:c r="F7" s="21" t="str">
        <x:v>H1 2025</x:v>
      </x:c>
      <x:c r="G7" s="21" t="str">
        <x:v>Kenya; source-defined</x:v>
      </x:c>
      <x:c r="H7" s="24" t="str">
        <x:v>https://africathebigdeal.com/wp-content/uploads/2025/10/ATBD-H1-2025-Round-Up-1.pdf</x:v>
      </x:c>
      <x:c r="I7" s="24" t="str">
        <x:v>Published rounded H1 comparator: US$227m.</x:v>
      </x:c>
      <x:c r="J7" s="19"/>
    </x:row>
    <x:row r="8">
      <x:c r="A8" s="7"/>
      <x:c r="B8" s="7"/>
      <x:c r="C8" s="21" t="str">
        <x:v>ATBD-H126</x:v>
      </x:c>
      <x:c r="D8" s="24" t="str">
        <x:v>H1 2026: Mapping the money</x:v>
      </x:c>
      <x:c r="E8" s="21" t="str">
        <x:v>Tracker publication</x:v>
      </x:c>
      <x:c r="F8" s="21" t="str">
        <x:v>H1 2026</x:v>
      </x:c>
      <x:c r="G8" s="21" t="str">
        <x:v>Kenya, Nigeria and Egypt</x:v>
      </x:c>
      <x:c r="H8" s="24" t="str">
        <x:v>https://thebigdeal.substack.com/p/h12026c</x:v>
      </x:c>
      <x:c r="I8" s="24" t="str">
        <x:v>Kenya US$126m total / US$46m equity; Nigeria US$214m and Egypt US$183m equity.</x:v>
      </x:c>
      <x:c r="J8" s="19"/>
    </x:row>
    <x:row r="9">
      <x:c r="A9" s="7"/>
      <x:c r="B9" s="7"/>
      <x:c r="C9" s="21" t="str">
        <x:v>ATBD-ENERGY</x:v>
      </x:c>
      <x:c r="D9" s="24" t="str">
        <x:v>2025 in review: energy boosted by debt</x:v>
      </x:c>
      <x:c r="E9" s="21" t="str">
        <x:v>Tracker sector analysis</x:v>
      </x:c>
      <x:c r="F9" s="21" t="str">
        <x:v>2025</x:v>
      </x:c>
      <x:c r="G9" s="21" t="str">
        <x:v>Africa energy sector</x:v>
      </x:c>
      <x:c r="H9" s="24" t="str">
        <x:v>https://thebigdeal.substack.com/p/2025ct</x:v>
      </x:c>
      <x:c r="I9" s="24" t="str">
        <x:v>Top-five 82% is Africa-wide energy, not a Kenya-specific funding share.</x:v>
      </x:c>
      <x:c r="J9" s="19"/>
    </x:row>
    <x:row r="10">
      <x:c r="A10" s="7"/>
      <x:c r="B10" s="7"/>
      <x:c r="C10" s="21" t="str">
        <x:v>ATBD-24</x:v>
      </x:c>
      <x:c r="D10" s="24" t="str">
        <x:v>ATBD 2024 Round-Up</x:v>
      </x:c>
      <x:c r="E10" s="21" t="str">
        <x:v>Primary provider report</x:v>
      </x:c>
      <x:c r="F10" s="21" t="str">
        <x:v>Calendar 2024</x:v>
      </x:c>
      <x:c r="G10" s="21" t="str">
        <x:v>Kenya; source-defined</x:v>
      </x:c>
      <x:c r="H10" s="24" t="str">
        <x:v>https://africathebigdeal.com/wp-content/uploads/2025/01/ATBD-2024-Round-Up.pdf</x:v>
      </x:c>
      <x:c r="I10" s="24" t="str">
        <x:v>Published historical total US$638m; this is a prior report vintage, not a verified later-revised base.</x:v>
      </x:c>
      <x:c r="J10" s="19"/>
    </x:row>
    <x:row r="11">
      <x:c r="A11" s="7"/>
      <x:c r="B11" s="7"/>
      <x:c r="C11" s="21" t="str">
        <x:v>ATBD-EXACT</x:v>
      </x:c>
      <x:c r="D11" s="24" t="str">
        <x:v>The Star, Business Daily and The EastAfrican exact-total reports</x:v>
      </x:c>
      <x:c r="E11" s="21" t="str">
        <x:v>Secondary news coverage</x:v>
      </x:c>
      <x:c r="F11" s="21" t="str">
        <x:v>Published Jan 15 and Jan 19, 2026; funding period 2025</x:v>
      </x:c>
      <x:c r="G11" s="21" t="str">
        <x:v>Kenya; ATBD-attributed total</x:v>
      </x:c>
      <x:c r="H11" s="24" t="str">
        <x:v>https://www.the-star.co.ke/business/2026-01-15-kenya-tightens-grip-on-africa-startup-capital-attracts-sh126bn-in-2025 | https://www.businessdailyafrica.com/bd/markets/market-news/kenya-remains-on-top-with-sh127bn-startup-funding-in-2025-5331672 | https://www.theeastafrican.co.ke/tea/business-tech/kenya-takes-largest-share-of-african-venture-capital-funding-5329968</x:v>
      </x:c>
      <x:c r="I11" s="24" t="str">
        <x:v>Reports quote US$984m; this exact value is not in ATBD's Jan 13 public post. Business Daily calculates +54.2% from US$638m; The EastAfrican quotes +52%.</x:v>
      </x:c>
      <x:c r="J11" s="19"/>
    </x:row>
    <x:row r="12">
      <x:c r="A12" s="7"/>
      <x:c r="B12" s="7"/>
      <x:c r="C12" s="21" t="str">
        <x:v>ATBD-VINTAGE</x:v>
      </x:c>
      <x:c r="D12" s="24" t="str">
        <x:v>Where are the investors?</x:v>
      </x:c>
      <x:c r="E12" s="21" t="str">
        <x:v>Later provider method note</x:v>
      </x:c>
      <x:c r="F12" s="21" t="str">
        <x:v>May 12, 2026</x:v>
      </x:c>
      <x:c r="G12" s="21" t="str">
        <x:v>Africa; methodology context</x:v>
      </x:c>
      <x:c r="H12" s="24" t="str">
        <x:v>https://thebigdeal.substack.com/p/invest426</x:v>
      </x:c>
      <x:c r="I12" s="24" t="str">
        <x:v>ATBD says deal reporting can be delayed and uses public sources plus confidential investor disclosures; it does not quantify a 2025 revision.</x:v>
      </x:c>
      <x:c r="J12" s="19"/>
    </x:row>
    <x:row r="13">
      <x:c r="A13" s="7"/>
      <x:c r="B13" s="7"/>
      <x:c r="C13" s="21" t="str">
        <x:v>ATBD-DATABASE</x:v>
      </x:c>
      <x:c r="D13" s="24" t="str">
        <x:v>Africa: The Big Deal startup deals database product page</x:v>
      </x:c>
      <x:c r="E13" s="21" t="str">
        <x:v>Provider database / access description</x:v>
      </x:c>
      <x:c r="F13" s="21" t="str">
        <x:v>Current page checked 24-Sep-2026; linked from 13-Jan-2026 post</x:v>
      </x:c>
      <x:c r="G13" s="21" t="str">
        <x:v>Africa; deals of US$100k+ since 2019</x:v>
      </x:c>
      <x:c r="H13" s="24" t="str">
        <x:v>https://africathebigdeal.com/ | https://thebigdeal.substack.com/p/2025ir2</x:v>
      </x:c>
      <x:c r="I13" s="24" t="str">
        <x:v>ATBD describes monthly updated Excel data with 30+ fields and subscriber access to the full underlying dataset. No database purchase, dated 2025 export or January report snapshot was obtained; request the historical vintage and change history.</x:v>
      </x:c>
      <x:c r="J13" s="19"/>
    </x:row>
    <x:row r="14">
      <x:c r="A14" s="7"/>
      <x:c r="B14" s="7"/>
      <x:c r="C14" s="21" t="str">
        <x:v>PARTECH-25</x:v>
      </x:c>
      <x:c r="D14" s="24" t="str">
        <x:v>2025 Africa Tech Venture Capital Report and release</x:v>
      </x:c>
      <x:c r="E14" s="21" t="str">
        <x:v>Primary provider report / press release</x:v>
      </x:c>
      <x:c r="F14" s="21" t="str">
        <x:v>Calendar 2025; released Jan 22, 2026</x:v>
      </x:c>
      <x:c r="G14" s="21" t="str">
        <x:v>African tech and digital startups; Kenya</x:v>
      </x:c>
      <x:c r="H14" s="24" t="str">
        <x:v>https://partechpartners.com/africa-reports/2025-africa-tech-venture-capital-report | https://partechpartners.com/news/2025-partech-africa-tech-vc-report-african-tech-funding-rebounds-to-us41b-driven-by-record-debt-activity-and-disciplined-equity-growth</x:v>
      </x:c>
      <x:c r="I14" s="24" t="str">
        <x:v>Kenya about US$1.04bn, equity US$539m and debt US$498m; US$200k+ threshold; no underlying cutoff/export date stated.</x:v>
      </x:c>
      <x:c r="J14" s="19"/>
    </x:row>
    <x:row r="15">
      <x:c r="A15" s="7"/>
      <x:c r="B15" s="7"/>
      <x:c r="C15" s="21" t="str">
        <x:v>SCREENSHOT</x:v>
      </x:c>
      <x:c r="D15" s="24" t="str">
        <x:v>User-supplied LinkedIn screenshots</x:v>
      </x:c>
      <x:c r="E15" s="21" t="str">
        <x:v>Captured primary input</x:v>
      </x:c>
      <x:c r="F15" s="21" t="str">
        <x:v>Captured 22-Sep-2026</x:v>
      </x:c>
      <x:c r="G15" s="21" t="str">
        <x:v>Claims / selected companies</x:v>
      </x:c>
      <x:c r="H15" s="24" t="str">
        <x:v>01 - Screenshot Source Capture.md and Sources/Screenshots/</x:v>
      </x:c>
      <x:c r="I15" s="24" t="str">
        <x:v>Not independently verified; amounts, attribution, outcome and loss remain claims.</x:v>
      </x:c>
      <x:c r="J15" s="19"/>
    </x:row>
    <x:row r="16">
      <x:c r="A16" s="7"/>
      <x:c r="B16" s="7"/>
      <x:c r="C16" s="21" t="str">
        <x:v>COPIA-GAZ</x:v>
      </x:c>
      <x:c r="D16" s="24" t="str">
        <x:v>Kenya Gazette, Insolvency Notice E106 of 2024</x:v>
      </x:c>
      <x:c r="E16" s="21" t="str">
        <x:v>Official Gazette</x:v>
      </x:c>
      <x:c r="F16" s="21" t="str">
        <x:v>31-May-2024</x:v>
      </x:c>
      <x:c r="G16" s="21" t="str">
        <x:v>Copia Kenya Limited</x:v>
      </x:c>
      <x:c r="H16" s="24" t="str">
        <x:v>https://new.kenyalaw.org/akn/ke/officialGazette/gazette/2024-05-31/76/eng@2024-05-31/source</x:v>
      </x:c>
      <x:c r="I16" s="24" t="str">
        <x:v>Appointment of administrators; match recipient and legal entity before applying outcome.</x:v>
      </x:c>
      <x:c r="J16" s="19"/>
    </x:row>
    <x:row r="17">
      <x:c r="A17" s="7"/>
      <x:c r="B17" s="7"/>
      <x:c r="C17" s="21" t="str">
        <x:v>COPIA-COURT-2026</x:v>
      </x:c>
      <x:c r="D17" s="24" t="str">
        <x:v>In re Copia Kenya Limited (Under Administration), [2026] KEHC 5926</x:v>
      </x:c>
      <x:c r="E17" s="21" t="str">
        <x:v>Court ruling; secondary reproduction</x:v>
      </x:c>
      <x:c r="F17" s="21" t="str">
        <x:v>Delivered 23-Apr-2026</x:v>
      </x:c>
      <x:c r="G17" s="21" t="str">
        <x:v>Copia Kenya Limited</x:v>
      </x:c>
      <x:c r="H17" s="24" t="str">
        <x:v>https://sheriahub.com/cases/ke/caselaw/in-re-copia-kenya-limited-under-administrstion-2026-kehc-5926-klr</x:v>
      </x:c>
      <x:c r="I17" s="24" t="str">
        <x:v>Reproduction reports a two-month administrator-term extension. Official Kenya Law judgment not located in this check; verify later orders and current status.</x:v>
      </x:c>
      <x:c r="J17" s="19"/>
    </x:row>
    <x:row r="18">
      <x:c r="A18" s="7"/>
      <x:c r="B18" s="7"/>
      <x:c r="C18" s="21" t="str">
        <x:v>NAK-COURT</x:v>
      </x:c>
      <x:c r="D18" s="24" t="str">
        <x:v>In re Nakumatt Holdings Limited</x:v>
      </x:c>
      <x:c r="E18" s="21" t="str">
        <x:v>Kenya Law judgment</x:v>
      </x:c>
      <x:c r="F18" s="21" t="str">
        <x:v>11-Mar-2021</x:v>
      </x:c>
      <x:c r="G18" s="21" t="str">
        <x:v>Nakumatt Holdings Limited</x:v>
      </x:c>
      <x:c r="H18" s="24" t="str">
        <x:v>https://new.kenyalaw.org/akn/ke/judgment/kehc/2021/8603/eng@2021-03-11</x:v>
      </x:c>
      <x:c r="I18" s="24" t="str">
        <x:v>Court record defines procedural facts; it is not a complete recovery history.</x:v>
      </x:c>
      <x:c r="J18" s="19"/>
    </x:row>
    <x:row r="19">
      <x:c r="A19" s="7"/>
      <x:c r="B19" s="7"/>
      <x:c r="C19" s="21" t="str">
        <x:v>TUS-COURT</x:v>
      </x:c>
      <x:c r="D19" s="24" t="str">
        <x:v>In re Tusker Mattresses Limited</x:v>
      </x:c>
      <x:c r="E19" s="21" t="str">
        <x:v>Kenya Law judgment</x:v>
      </x:c>
      <x:c r="F19" s="21" t="str">
        <x:v>31-May-2023</x:v>
      </x:c>
      <x:c r="G19" s="21" t="str">
        <x:v>Tusker Mattresses Limited / Tuskys</x:v>
      </x:c>
      <x:c r="H19" s="24" t="str">
        <x:v>https://new.kenyalaw.org/akn/ke/judgment/kehc/2023/18107/eng@2023-05-31</x:v>
      </x:c>
      <x:c r="I19" s="24" t="str">
        <x:v>Court claims and orders are entity/date specific; claims are not automatically admitted debt.</x:v>
      </x:c>
      <x:c r="J19" s="19"/>
    </x:row>
    <x:row r="20">
      <x:c r="A20" s="7"/>
      <x:c r="B20" s="7"/>
      <x:c r="C20" s="21" t="str">
        <x:v>ROB-ROB</x:v>
      </x:c>
      <x:c r="D20" s="24" t="str">
        <x:v>The Capital Structure Decisions of New Firms</x:v>
      </x:c>
      <x:c r="E20" s="21" t="str">
        <x:v>Peer-reviewed study</x:v>
      </x:c>
      <x:c r="F20" s="21" t="str">
        <x:v>2014</x:v>
      </x:c>
      <x:c r="G20" s="21" t="str">
        <x:v>US Kauffman Firm Survey</x:v>
      </x:c>
      <x:c r="H20" s="24" t="str">
        <x:v>https://doi.org/10.1093/rfs/hhs072</x:v>
      </x:c>
      <x:c r="I20" s="24" t="str">
        <x:v>Observational US evidence; do not transfer its causal interpretation to Kenya.</x:v>
      </x:c>
      <x:c r="J20" s="19"/>
    </x:row>
    <x:row r="21">
      <x:c r="A21" s="7"/>
      <x:c r="B21" s="7"/>
      <x:c r="C21" s="21" t="str">
        <x:v>COLE-SOK</x:v>
      </x:c>
      <x:c r="D21" s="24" t="str">
        <x:v>Debt Financing, Survival, and Growth of Start-up Firms</x:v>
      </x:c>
      <x:c r="E21" s="21" t="str">
        <x:v>Peer-reviewed study</x:v>
      </x:c>
      <x:c r="F21" s="21" t="str">
        <x:v>2018</x:v>
      </x:c>
      <x:c r="G21" s="21" t="str">
        <x:v>US startup sample</x:v>
      </x:c>
      <x:c r="H21" s="24" t="str">
        <x:v>https://doi.org/10.1016/j.jcorpfin.2017.10.013</x:v>
      </x:c>
      <x:c r="I21" s="24" t="str">
        <x:v>Observational estimates in a defined US sample, not Kenyan loan terms or effects.</x:v>
      </x:c>
      <x:c r="J21" s="19"/>
    </x:row>
    <x:row r="22">
      <x:c r="A22" s="7"/>
      <x:c r="B22" s="7"/>
      <x:c r="C22" s="22" t="str">
        <x:v>LOCAL-LEDGER</x:v>
      </x:c>
      <x:c r="D22" s="25" t="str">
        <x:v>Claim and Company Verification Ledger</x:v>
      </x:c>
      <x:c r="E22" s="22" t="str">
        <x:v>Project evidence register</x:v>
      </x:c>
      <x:c r="F22" s="22" t="str">
        <x:v>Status 22-Sep-2026</x:v>
      </x:c>
      <x:c r="G22" s="22" t="str">
        <x:v>Thirteen screenshot entries</x:v>
      </x:c>
      <x:c r="H22" s="25" t="str">
        <x:v>03 - Claim and Company Verification Ledger.md</x:v>
      </x:c>
      <x:c r="I22" s="25" t="str">
        <x:v>Captures open deal verification, legal entity and outcome tasks.</x:v>
      </x:c>
      <x:c r="J22" s="19"/>
    </x:row>
    <x:row r="23">
      <x:c r="A23" s="7"/>
      <x:c r="B23" s="7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7"/>
      <x:c r="B24" s="7"/>
      <x:c r="C24" s="123" t="str">
        <x:v>Formula and source checks</x:v>
      </x:c>
      <x:c r="D24" s="123"/>
      <x:c r="E24" s="123"/>
      <x:c r="F24" s="123"/>
      <x:c r="G24" s="19"/>
      <x:c r="H24" s="19"/>
      <x:c r="I24" s="19"/>
      <x:c r="J24" s="19"/>
    </x:row>
    <x:row r="25" ht="30" customHeight="1">
      <x:c r="A25" s="7"/>
      <x:c r="B25" s="7"/>
      <x:c r="C25" s="18" t="str">
        <x:v>Check</x:v>
      </x:c>
      <x:c r="D25" s="18" t="str">
        <x:v>Result</x:v>
      </x:c>
      <x:c r="E25" s="18" t="str">
        <x:v>Tolerance / rule</x:v>
      </x:c>
      <x:c r="F25" s="18" t="str">
        <x:v>Interpretation</x:v>
      </x:c>
      <x:c r="G25" s="19"/>
      <x:c r="H25" s="19"/>
      <x:c r="I25" s="19"/>
      <x:c r="J25" s="19"/>
    </x:row>
    <x:row r="26">
      <x:c r="A26" s="7"/>
      <x:c r="B26" s="7"/>
      <x:c r="C26" s="23" t="str">
        <x:v>ATBD debt + equity subtotal</x:v>
      </x:c>
      <x:c r="D26" s="124" t="n">
        <x:f>'Funding Mix'!D8-('Funding Mix'!D6+'Funding Mix'!D7)</x:f>
        <x:v>0</x:v>
      </x:c>
      <x:c r="E26" s="20" t="str">
        <x:v>USD m</x:v>
      </x:c>
      <x:c r="F26" s="23" t="str">
        <x:v>Should equal 965; provider category amounts only.</x:v>
      </x:c>
      <x:c r="G26" s="19"/>
      <x:c r="H26" s="19"/>
      <x:c r="I26" s="19"/>
      <x:c r="J26" s="19"/>
    </x:row>
    <x:row r="27">
      <x:c r="A27" s="7"/>
      <x:c r="B27" s="7"/>
      <x:c r="C27" s="24" t="str">
        <x:v>ATBD total less debt/equity subtotal</x:v>
      </x:c>
      <x:c r="D27" s="125" t="n">
        <x:f>'Funding Mix'!D10</x:f>
        <x:v>19</x:v>
      </x:c>
      <x:c r="E27" s="21" t="str">
        <x:v>USD m</x:v>
      </x:c>
      <x:c r="F27" s="24" t="str">
        <x:v>19 remains unassigned, not assumed to be grants.</x:v>
      </x:c>
      <x:c r="G27" s="19"/>
      <x:c r="H27" s="19"/>
      <x:c r="I27" s="19"/>
      <x:c r="J27" s="19"/>
    </x:row>
    <x:row r="28">
      <x:c r="A28" s="7"/>
      <x:c r="B28" s="7"/>
      <x:c r="C28" s="24" t="str">
        <x:v>Matched H1 percentage change</x:v>
      </x:c>
      <x:c r="D28" s="125" t="n">
        <x:f>'Market Metrics'!D16-(126/227-1)</x:f>
        <x:v>0</x:v>
      </x:c>
      <x:c r="E28" s="21" t="str">
        <x:v>%</x:v>
      </x:c>
      <x:c r="F28" s="24" t="str">
        <x:v>(126 / 227) - 1; about -44.5%.</x:v>
      </x:c>
      <x:c r="G28" s="19"/>
      <x:c r="H28" s="19"/>
      <x:c r="I28" s="19"/>
      <x:c r="J28" s="19"/>
    </x:row>
    <x:row r="29">
      <x:c r="A29" s="7"/>
      <x:c r="B29" s="7"/>
      <x:c r="C29" s="24" t="str">
        <x:v>Thirteen screenshot amounts</x:v>
      </x:c>
      <x:c r="D29" s="125" t="n">
        <x:f>'Screenshot List'!D19-93.31</x:f>
        <x:v>0</x:v>
      </x:c>
      <x:c r="E29" s="21" t="str">
        <x:v>KES bn</x:v>
      </x:c>
      <x:c r="F29" s="24" t="str">
        <x:v>Arithmetic total 93.31; not a loss total.</x:v>
      </x:c>
      <x:c r="G29" s="19"/>
      <x:c r="H29" s="19"/>
      <x:c r="I29" s="19"/>
      <x:c r="J29" s="19"/>
    </x:row>
    <x:row r="30">
      <x:c r="A30" s="7"/>
      <x:c r="B30" s="7"/>
      <x:c r="C30" s="24" t="str">
        <x:v>Selected-list top-five share</x:v>
      </x:c>
      <x:c r="D30" s="125" t="n">
        <x:f>'Screenshot List'!D21-(75.7/93.31)</x:f>
        <x:v>0</x:v>
      </x:c>
      <x:c r="E30" s="21" t="str">
        <x:v>%</x:v>
      </x:c>
      <x:c r="F30" s="24" t="str">
        <x:v>75.70 / 93.31; not national market concentration.</x:v>
      </x:c>
      <x:c r="G30" s="19"/>
      <x:c r="H30" s="19"/>
      <x:c r="I30" s="19"/>
      <x:c r="J30" s="19"/>
    </x:row>
    <x:row r="31">
      <x:c r="A31" s="7"/>
      <x:c r="B31" s="7"/>
      <x:c r="C31" s="24" t="str">
        <x:v>Loan schedule principal check</x:v>
      </x:c>
      <x:c r="D31" s="125" t="n">
        <x:f>'Debt Service'!E38-'Debt Service'!D5</x:f>
        <x:v>1.4901161193847656e-8</x:v>
      </x:c>
      <x:c r="E31" s="21" t="str">
        <x:v>KES</x:v>
      </x:c>
      <x:c r="F31" s="24" t="str">
        <x:v>Equal principal sum must equal 100,000,000.</x:v>
      </x:c>
      <x:c r="G31" s="19"/>
      <x:c r="H31" s="19"/>
      <x:c r="I31" s="19"/>
      <x:c r="J31" s="19"/>
    </x:row>
    <x:row r="32">
      <x:c r="A32" s="7"/>
      <x:c r="B32" s="7"/>
      <x:c r="C32" s="24" t="str">
        <x:v>Loan base interest check</x:v>
      </x:c>
      <x:c r="D32" s="125" t="n">
        <x:f>'Debt Service'!F38-18750000</x:f>
        <x:v>0</x:v>
      </x:c>
      <x:c r="E32" s="21" t="str">
        <x:v>KES</x:v>
      </x:c>
      <x:c r="F32" s="24" t="str">
        <x:v>24 months at 18%, equal principal: 18,750,000.</x:v>
      </x:c>
      <x:c r="G32" s="19"/>
      <x:c r="H32" s="19"/>
      <x:c r="I32" s="19"/>
      <x:c r="J32" s="19"/>
    </x:row>
    <x:row r="33">
      <x:c r="A33" s="7"/>
      <x:c r="B33" s="7"/>
      <x:c r="C33" s="24" t="str">
        <x:v>Simple dilution check</x:v>
      </x:c>
      <x:c r="D33" s="125" t="n">
        <x:f>'Equity Dilution'!G6-0.2</x:f>
        <x:v>0</x:v>
      </x:c>
      <x:c r="E33" s="21" t="str">
        <x:v>%</x:v>
      </x:c>
      <x:c r="F33" s="24" t="str">
        <x:v>30 / (120 + 30) = 20%.</x:v>
      </x:c>
      <x:c r="G33" s="19"/>
      <x:c r="H33" s="19"/>
      <x:c r="I33" s="19"/>
      <x:c r="J33" s="19"/>
    </x:row>
    <x:row r="34">
      <x:c r="A34" s="7"/>
      <x:c r="B34" s="7"/>
      <x:c r="C34" s="24" t="str">
        <x:v>Debt downside DSCR below 1</x:v>
      </x:c>
      <x:c r="D34" s="125" t="n">
        <x:f>IF('Debt Service'!M14&lt;1,1,0)</x:f>
        <x:v>1</x:v>
      </x:c>
      <x:c r="E34" s="21" t="str">
        <x:v>Boolean</x:v>
      </x:c>
      <x:c r="F34" s="24" t="str">
        <x:v>20% CFADS haircut: month-one DSCR below 1 is a stress flag.</x:v>
      </x:c>
      <x:c r="G34" s="19"/>
      <x:c r="H34" s="19"/>
      <x:c r="I34" s="19"/>
      <x:c r="J34" s="19"/>
    </x:row>
    <x:row r="35">
      <x:c r="A35" s="7"/>
      <x:c r="B35" s="7"/>
      <x:c r="C35" s="24" t="str">
        <x:v>Partech less ATBD total gap</x:v>
      </x:c>
      <x:c r="D35" s="125" t="n">
        <x:f>'Provider Comparison'!D11-56</x:f>
        <x:v>0</x:v>
      </x:c>
      <x:c r="E35" s="21" t="str">
        <x:v>USD m</x:v>
      </x:c>
      <x:c r="F35" s="24" t="str">
        <x:v>Calculated spread should equal 56; publication dates differ by nine days but do not disclose cutoff dates.</x:v>
      </x:c>
      <x:c r="G35" s="19"/>
      <x:c r="H35" s="19"/>
      <x:c r="I35" s="19"/>
      <x:c r="J35" s="19"/>
    </x:row>
    <x:row r="36">
      <x:c r="A36" s="7"/>
      <x:c r="B36" s="7"/>
      <x:c r="C36" s="24" t="str">
        <x:v>ATBD recomputed growth check</x:v>
      </x:c>
      <x:c r="D36" s="125" t="n">
        <x:f>'Provider Comparison'!D14-(984/638-1)</x:f>
        <x:v>0</x:v>
      </x:c>
      <x:c r="E36" s="21" t="str">
        <x:v>%</x:v>
      </x:c>
      <x:c r="F36" s="24" t="str">
        <x:v>984 / 638 - 1; direct arithmetic, compared with stated +52%; base vintage may differ.</x:v>
      </x:c>
      <x:c r="G36" s="19"/>
      <x:c r="H36" s="19"/>
      <x:c r="I36" s="19"/>
      <x:c r="J36" s="19"/>
    </x:row>
    <x:row r="37">
      <x:c r="A37" s="7"/>
      <x:c r="B37" s="7"/>
      <x:c r="C37" s="24" t="str">
        <x:v>ATBD category gap check</x:v>
      </x:c>
      <x:c r="D37" s="125" t="n">
        <x:f>'Provider Comparison'!D25-19</x:f>
        <x:v>0</x:v>
      </x:c>
      <x:c r="E37" s="21" t="str">
        <x:v>USD m</x:v>
      </x:c>
      <x:c r="F37" s="24" t="str">
        <x:v>Should equal 19 and remains unassigned.</x:v>
      </x:c>
      <x:c r="G37" s="19"/>
      <x:c r="H37" s="19"/>
      <x:c r="I37" s="19"/>
      <x:c r="J37" s="19"/>
    </x:row>
    <x:row r="38">
      <x:c r="A38" s="7"/>
      <x:c r="B38" s="7"/>
      <x:c r="C38" s="24" t="str">
        <x:v>Partech rounded category gap check</x:v>
      </x:c>
      <x:c r="D38" s="125" t="n">
        <x:f>'Provider Comparison'!D26-3</x:f>
        <x:v>0</x:v>
      </x:c>
      <x:c r="E38" s="21" t="str">
        <x:v>USD m</x:v>
      </x:c>
      <x:c r="F38" s="24" t="str">
        <x:v>Should equal 3 using its approximate US$1.04bn total.</x:v>
      </x:c>
      <x:c r="G38" s="19"/>
      <x:c r="H38" s="19"/>
      <x:c r="I38" s="19"/>
      <x:c r="J38" s="19"/>
    </x:row>
    <x:row r="39">
      <x:c r="A39" s="7"/>
      <x:c r="B39" s="7"/>
      <x:c r="C39" s="24" t="str">
        <x:v>ATBD growth-rate gap check</x:v>
      </x:c>
      <x:c r="D39" s="125" t="n">
        <x:f>'Provider Comparison'!D18-((984/638-1)-0.52)</x:f>
        <x:v>0</x:v>
      </x:c>
      <x:c r="E39" s="21" t="str">
        <x:v>percentage points</x:v>
      </x:c>
      <x:c r="F39" s="24" t="str">
        <x:v>Recalculated growth less stated growth should equal 2.23 points; the prior-year vintage is not matched.</x:v>
      </x:c>
      <x:c r="G39" s="19"/>
      <x:c r="H39" s="19"/>
      <x:c r="I39" s="19"/>
      <x:c r="J39" s="19"/>
    </x:row>
    <x:row r="40">
      <x:c r="A40" s="7"/>
      <x:c r="B40" s="7"/>
      <x:c r="C40" s="25" t="str">
        <x:v>Provider report release lag</x:v>
      </x:c>
      <x:c r="D40" s="126" t="n">
        <x:f>'Reporting Vectors'!D29-9</x:f>
        <x:v>0</x:v>
      </x:c>
      <x:c r="E40" s="22" t="str">
        <x:v>calendar days</x:v>
      </x:c>
      <x:c r="F40" s="25" t="str">
        <x:v>ATBD Jan 13 to Partech Jan 22 = 9 days; not the underlying deal-data cutoff lag.</x:v>
      </x:c>
      <x:c r="G40" s="19"/>
      <x:c r="H40" s="19"/>
      <x:c r="I40" s="19"/>
      <x:c r="J40" s="19"/>
    </x:row>
    <x:row r="41">
      <x:c r="A41" s="7"/>
      <x:c r="B41" s="7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7"/>
      <x:c r="B42" s="7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7"/>
      <x:c r="B43" s="7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7"/>
      <x:c r="B44" s="7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7"/>
      <x:c r="B45" s="7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7"/>
      <x:c r="B46" s="7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7"/>
      <x:c r="B47" s="7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7"/>
      <x:c r="B48" s="7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7"/>
      <x:c r="B49" s="7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7"/>
      <x:c r="B50" s="7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7"/>
      <x:c r="B51" s="7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7"/>
      <x:c r="B52" s="7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7"/>
      <x:c r="B53" s="7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7"/>
      <x:c r="B54" s="7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7"/>
      <x:c r="B55" s="7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7"/>
      <x:c r="B56" s="7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7"/>
      <x:c r="B57" s="7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7"/>
      <x:c r="B58" s="7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7"/>
      <x:c r="B59" s="7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7"/>
      <x:c r="B60" s="7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7"/>
      <x:c r="B61" s="7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7"/>
      <x:c r="B62" s="7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7"/>
      <x:c r="B63" s="7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7"/>
      <x:c r="B64" s="7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7"/>
      <x:c r="B65" s="7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7"/>
      <x:c r="B66" s="7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7"/>
      <x:c r="B67" s="7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7"/>
      <x:c r="B68" s="7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7"/>
      <x:c r="B69" s="7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7"/>
      <x:c r="B70" s="7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7"/>
      <x:c r="B71" s="7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7"/>
      <x:c r="B72" s="7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7"/>
      <x:c r="B73" s="7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7"/>
      <x:c r="B74" s="7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7"/>
      <x:c r="B75" s="7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7"/>
      <x:c r="B76" s="7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7"/>
      <x:c r="B77" s="7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7"/>
      <x:c r="B78" s="7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7"/>
      <x:c r="B79" s="7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7"/>
      <x:c r="B80" s="7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7"/>
      <x:c r="B81" s="7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7"/>
      <x:c r="B82" s="7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7"/>
      <x:c r="B83" s="7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7"/>
      <x:c r="B84" s="7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7"/>
      <x:c r="B85" s="7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7"/>
      <x:c r="B86" s="7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7"/>
      <x:c r="B87" s="7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7"/>
      <x:c r="B88" s="7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7"/>
      <x:c r="B89" s="7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7"/>
      <x:c r="B90" s="7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7"/>
      <x:c r="B91" s="7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7"/>
      <x:c r="B92" s="7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7"/>
      <x:c r="B93" s="7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7"/>
      <x:c r="B94" s="7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7"/>
      <x:c r="B95" s="7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7"/>
      <x:c r="B96" s="7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7"/>
      <x:c r="B97" s="7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7"/>
      <x:c r="B98" s="7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7"/>
      <x:c r="B99" s="7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7"/>
      <x:c r="B100" s="7"/>
      <x:c r="C100" s="19"/>
      <x:c r="D100" s="19"/>
      <x:c r="E100" s="19"/>
      <x:c r="F100" s="19"/>
      <x:c r="G100" s="19"/>
      <x:c r="H100" s="19"/>
      <x:c r="I100" s="19"/>
      <x:c r="J100" s="19"/>
    </x:row>
    <x:row r="101">
      <x:c r="A101" s="7"/>
      <x:c r="B101" s="7"/>
      <x:c r="C101" s="19"/>
      <x:c r="D101" s="19"/>
      <x:c r="E101" s="19"/>
      <x:c r="F101" s="19"/>
      <x:c r="G101" s="19"/>
      <x:c r="H101" s="19"/>
      <x:c r="I101" s="19"/>
      <x:c r="J101" s="19"/>
    </x:row>
    <x:row r="102">
      <x:c r="A102" s="7"/>
      <x:c r="B102" s="7"/>
      <x:c r="C102" s="19"/>
      <x:c r="D102" s="19"/>
      <x:c r="E102" s="19"/>
      <x:c r="F102" s="19"/>
      <x:c r="G102" s="19"/>
      <x:c r="H102" s="19"/>
      <x:c r="I102" s="19"/>
      <x:c r="J102" s="19"/>
    </x:row>
    <x:row r="103">
      <x:c r="A103" s="7"/>
      <x:c r="B103" s="7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7"/>
      <x:c r="B104" s="7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7"/>
      <x:c r="B105" s="7"/>
      <x:c r="C105" s="19"/>
      <x:c r="D105" s="19"/>
      <x:c r="E105" s="19"/>
      <x:c r="F105" s="19"/>
      <x:c r="G105" s="19"/>
      <x:c r="H105" s="19"/>
      <x:c r="I105" s="19"/>
      <x:c r="J105" s="19"/>
    </x:row>
    <x:row r="106">
      <x:c r="A106" s="7"/>
      <x:c r="B106" s="7"/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7"/>
      <x:c r="B107" s="7"/>
      <x:c r="C107" s="19"/>
      <x:c r="D107" s="19"/>
      <x:c r="E107" s="19"/>
      <x:c r="F107" s="19"/>
      <x:c r="G107" s="19"/>
      <x:c r="H107" s="19"/>
      <x:c r="I107" s="19"/>
      <x:c r="J107" s="19"/>
    </x:row>
    <x:row r="108">
      <x:c r="A108" s="7"/>
      <x:c r="B108" s="7"/>
      <x:c r="C108" s="19"/>
      <x:c r="D108" s="19"/>
      <x:c r="E108" s="19"/>
      <x:c r="F108" s="19"/>
      <x:c r="G108" s="19"/>
      <x:c r="H108" s="19"/>
      <x:c r="I108" s="19"/>
      <x:c r="J108" s="19"/>
    </x:row>
    <x:row r="109">
      <x:c r="A109" s="7"/>
      <x:c r="B109" s="7"/>
      <x:c r="C109" s="19"/>
      <x:c r="D109" s="19"/>
      <x:c r="E109" s="19"/>
      <x:c r="F109" s="19"/>
      <x:c r="G109" s="19"/>
      <x:c r="H109" s="19"/>
      <x:c r="I109" s="19"/>
      <x:c r="J109" s="19"/>
    </x:row>
    <x:row r="110">
      <x:c r="A110" s="7"/>
      <x:c r="B110" s="7"/>
      <x:c r="C110" s="19"/>
      <x:c r="D110" s="19"/>
      <x:c r="E110" s="19"/>
      <x:c r="F110" s="19"/>
      <x:c r="G110" s="19"/>
      <x:c r="H110" s="19"/>
      <x:c r="I110" s="19"/>
      <x:c r="J110" s="19"/>
    </x:row>
    <x:row r="111">
      <x:c r="A111" s="7"/>
      <x:c r="B111" s="7"/>
      <x:c r="C111" s="19"/>
      <x:c r="D111" s="19"/>
      <x:c r="E111" s="19"/>
      <x:c r="F111" s="19"/>
      <x:c r="G111" s="19"/>
      <x:c r="H111" s="19"/>
      <x:c r="I111" s="19"/>
      <x:c r="J111" s="19"/>
    </x:row>
    <x:row r="112">
      <x:c r="A112" s="7"/>
      <x:c r="B112" s="7"/>
      <x:c r="C112" s="19"/>
      <x:c r="D112" s="19"/>
      <x:c r="E112" s="19"/>
      <x:c r="F112" s="19"/>
      <x:c r="G112" s="19"/>
      <x:c r="H112" s="19"/>
      <x:c r="I112" s="19"/>
      <x:c r="J112" s="19"/>
    </x:row>
    <x:row r="113">
      <x:c r="A113" s="7"/>
      <x:c r="B113" s="7"/>
      <x:c r="C113" s="19"/>
      <x:c r="D113" s="19"/>
      <x:c r="E113" s="19"/>
      <x:c r="F113" s="19"/>
      <x:c r="G113" s="19"/>
      <x:c r="H113" s="19"/>
      <x:c r="I113" s="19"/>
      <x:c r="J113" s="19"/>
    </x:row>
    <x:row r="114">
      <x:c r="A114" s="7"/>
      <x:c r="B114" s="7"/>
      <x:c r="C114" s="19"/>
      <x:c r="D114" s="19"/>
      <x:c r="E114" s="19"/>
      <x:c r="F114" s="19"/>
      <x:c r="G114" s="19"/>
      <x:c r="H114" s="19"/>
      <x:c r="I114" s="19"/>
      <x:c r="J114" s="19"/>
    </x:row>
    <x:row r="115">
      <x:c r="A115" s="7"/>
      <x:c r="B115" s="7"/>
      <x:c r="C115" s="19"/>
      <x:c r="D115" s="19"/>
      <x:c r="E115" s="19"/>
      <x:c r="F115" s="19"/>
      <x:c r="G115" s="19"/>
      <x:c r="H115" s="19"/>
      <x:c r="I115" s="19"/>
      <x:c r="J115" s="19"/>
    </x:row>
    <x:row r="116">
      <x:c r="A116" s="7"/>
      <x:c r="B116" s="7"/>
      <x:c r="C116" s="19"/>
      <x:c r="D116" s="19"/>
      <x:c r="E116" s="19"/>
      <x:c r="F116" s="19"/>
      <x:c r="G116" s="19"/>
      <x:c r="H116" s="19"/>
      <x:c r="I116" s="19"/>
      <x:c r="J116" s="19"/>
    </x:row>
    <x:row r="117">
      <x:c r="A117" s="7"/>
      <x:c r="B117" s="7"/>
      <x:c r="C117" s="19"/>
      <x:c r="D117" s="19"/>
      <x:c r="E117" s="19"/>
      <x:c r="F117" s="19"/>
      <x:c r="G117" s="19"/>
      <x:c r="H117" s="19"/>
      <x:c r="I117" s="19"/>
      <x:c r="J117" s="19"/>
    </x:row>
    <x:row r="118">
      <x:c r="A118" s="7"/>
      <x:c r="B118" s="7"/>
      <x:c r="C118" s="19"/>
      <x:c r="D118" s="19"/>
      <x:c r="E118" s="19"/>
      <x:c r="F118" s="19"/>
      <x:c r="G118" s="19"/>
      <x:c r="H118" s="19"/>
      <x:c r="I118" s="19"/>
      <x:c r="J118" s="19"/>
    </x:row>
    <x:row r="119">
      <x:c r="A119" s="7"/>
      <x:c r="B119" s="7"/>
      <x:c r="C119" s="19"/>
      <x:c r="D119" s="19"/>
      <x:c r="E119" s="19"/>
      <x:c r="F119" s="19"/>
      <x:c r="G119" s="19"/>
      <x:c r="H119" s="19"/>
      <x:c r="I119" s="19"/>
      <x:c r="J119" s="19"/>
    </x:row>
    <x:row r="120">
      <x:c r="A120" s="7"/>
      <x:c r="B120" s="7"/>
      <x:c r="C120" s="19"/>
      <x:c r="D120" s="19"/>
      <x:c r="E120" s="19"/>
      <x:c r="F120" s="19"/>
      <x:c r="G120" s="19"/>
      <x:c r="H120" s="19"/>
      <x:c r="I120" s="19"/>
      <x:c r="J120" s="19"/>
    </x:row>
    <x:row r="121">
      <x:c r="A121" s="7"/>
      <x:c r="B121" s="7"/>
      <x:c r="C121" s="19"/>
      <x:c r="D121" s="19"/>
      <x:c r="E121" s="19"/>
      <x:c r="F121" s="19"/>
      <x:c r="G121" s="19"/>
      <x:c r="H121" s="19"/>
      <x:c r="I121" s="19"/>
      <x:c r="J121" s="19"/>
    </x:row>
    <x:row r="122">
      <x:c r="A122" s="7"/>
      <x:c r="B122" s="7"/>
      <x:c r="C122" s="19"/>
      <x:c r="D122" s="19"/>
      <x:c r="E122" s="19"/>
      <x:c r="F122" s="19"/>
      <x:c r="G122" s="19"/>
      <x:c r="H122" s="19"/>
      <x:c r="I122" s="19"/>
      <x:c r="J122" s="19"/>
    </x:row>
    <x:row r="123">
      <x:c r="A123" s="7"/>
      <x:c r="B123" s="7"/>
      <x:c r="C123" s="19"/>
      <x:c r="D123" s="19"/>
      <x:c r="E123" s="19"/>
      <x:c r="F123" s="19"/>
      <x:c r="G123" s="19"/>
      <x:c r="H123" s="19"/>
      <x:c r="I123" s="19"/>
      <x:c r="J123" s="19"/>
    </x:row>
    <x:row r="124">
      <x:c r="A124" s="7"/>
      <x:c r="B124" s="7"/>
      <x:c r="C124" s="19"/>
      <x:c r="D124" s="19"/>
      <x:c r="E124" s="19"/>
      <x:c r="F124" s="19"/>
      <x:c r="G124" s="19"/>
      <x:c r="H124" s="19"/>
      <x:c r="I124" s="19"/>
      <x:c r="J124" s="19"/>
    </x:row>
    <x:row r="125">
      <x:c r="A125" s="7"/>
      <x:c r="B125" s="7"/>
      <x:c r="C125" s="19"/>
      <x:c r="D125" s="19"/>
      <x:c r="E125" s="19"/>
      <x:c r="F125" s="19"/>
      <x:c r="G125" s="19"/>
      <x:c r="H125" s="19"/>
      <x:c r="I125" s="19"/>
      <x:c r="J125" s="19"/>
    </x:row>
    <x:row r="126">
      <x:c r="A126" s="7"/>
      <x:c r="B126" s="7"/>
      <x:c r="C126" s="19"/>
      <x:c r="D126" s="19"/>
      <x:c r="E126" s="19"/>
      <x:c r="F126" s="19"/>
      <x:c r="G126" s="19"/>
      <x:c r="H126" s="19"/>
      <x:c r="I126" s="19"/>
      <x:c r="J126" s="19"/>
    </x:row>
    <x:row r="127">
      <x:c r="A127" s="7"/>
      <x:c r="B127" s="7"/>
      <x:c r="C127" s="19"/>
      <x:c r="D127" s="19"/>
      <x:c r="E127" s="19"/>
      <x:c r="F127" s="19"/>
      <x:c r="G127" s="19"/>
      <x:c r="H127" s="19"/>
      <x:c r="I127" s="19"/>
      <x:c r="J127" s="19"/>
    </x:row>
    <x:row r="128">
      <x:c r="A128" s="7"/>
      <x:c r="B128" s="7"/>
      <x:c r="C128" s="19"/>
      <x:c r="D128" s="19"/>
      <x:c r="E128" s="19"/>
      <x:c r="F128" s="19"/>
      <x:c r="G128" s="19"/>
      <x:c r="H128" s="19"/>
      <x:c r="I128" s="19"/>
      <x:c r="J128" s="19"/>
    </x:row>
    <x:row r="129">
      <x:c r="A129" s="7"/>
      <x:c r="B129" s="7"/>
      <x:c r="C129" s="19"/>
      <x:c r="D129" s="19"/>
      <x:c r="E129" s="19"/>
      <x:c r="F129" s="19"/>
      <x:c r="G129" s="19"/>
      <x:c r="H129" s="19"/>
      <x:c r="I129" s="19"/>
      <x:c r="J129" s="19"/>
    </x:row>
    <x:row r="130">
      <x:c r="A130" s="7"/>
      <x:c r="B130" s="7"/>
      <x:c r="C130" s="19"/>
      <x:c r="D130" s="19"/>
      <x:c r="E130" s="19"/>
      <x:c r="F130" s="19"/>
      <x:c r="G130" s="19"/>
      <x:c r="H130" s="19"/>
      <x:c r="I130" s="19"/>
      <x:c r="J130" s="19"/>
    </x:row>
    <x:row r="131">
      <x:c r="A131" s="7"/>
      <x:c r="B131" s="7"/>
      <x:c r="C131" s="19"/>
      <x:c r="D131" s="19"/>
      <x:c r="E131" s="19"/>
      <x:c r="F131" s="19"/>
      <x:c r="G131" s="19"/>
      <x:c r="H131" s="19"/>
      <x:c r="I131" s="19"/>
      <x:c r="J131" s="19"/>
    </x:row>
    <x:row r="132">
      <x:c r="A132" s="7"/>
      <x:c r="B132" s="7"/>
      <x:c r="C132" s="19"/>
      <x:c r="D132" s="19"/>
      <x:c r="E132" s="19"/>
      <x:c r="F132" s="19"/>
      <x:c r="G132" s="19"/>
      <x:c r="H132" s="19"/>
      <x:c r="I132" s="19"/>
      <x:c r="J132" s="19"/>
    </x:row>
    <x:row r="133">
      <x:c r="A133" s="7"/>
      <x:c r="B133" s="7"/>
      <x:c r="C133" s="19"/>
      <x:c r="D133" s="19"/>
      <x:c r="E133" s="19"/>
      <x:c r="F133" s="19"/>
      <x:c r="G133" s="19"/>
      <x:c r="H133" s="19"/>
      <x:c r="I133" s="19"/>
      <x:c r="J133" s="19"/>
    </x:row>
    <x:row r="134">
      <x:c r="A134" s="7"/>
      <x:c r="B134" s="7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7"/>
      <x:c r="B135" s="7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7"/>
      <x:c r="B136" s="7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7"/>
      <x:c r="B137" s="7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7"/>
      <x:c r="B138" s="7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7"/>
      <x:c r="B139" s="7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7"/>
      <x:c r="B140" s="7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7"/>
      <x:c r="B141" s="7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7"/>
      <x:c r="B142" s="7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7"/>
      <x:c r="B143" s="7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7"/>
      <x:c r="B144" s="7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7"/>
      <x:c r="B145" s="7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7"/>
      <x:c r="B146" s="7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7"/>
      <x:c r="B147" s="7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7"/>
      <x:c r="B148" s="7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7"/>
      <x:c r="B149" s="7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7"/>
      <x:c r="B150" s="7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7"/>
      <x:c r="B151" s="7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7"/>
      <x:c r="B152" s="7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7"/>
      <x:c r="B153" s="7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7"/>
      <x:c r="B154" s="7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7"/>
      <x:c r="B155" s="7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7"/>
      <x:c r="B156" s="7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7"/>
      <x:c r="B157" s="7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7"/>
      <x:c r="B158" s="7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7"/>
      <x:c r="B159" s="7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7"/>
      <x:c r="B160" s="7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7"/>
      <x:c r="B161" s="7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7"/>
      <x:c r="B162" s="7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7"/>
      <x:c r="B163" s="7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7"/>
      <x:c r="B164" s="7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7"/>
      <x:c r="B165" s="7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7"/>
      <x:c r="B166" s="7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7"/>
      <x:c r="B167" s="7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7"/>
      <x:c r="B168" s="7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7"/>
      <x:c r="B169" s="7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7"/>
      <x:c r="B170" s="7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7"/>
      <x:c r="B171" s="7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7"/>
      <x:c r="B172" s="7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7"/>
      <x:c r="B173" s="7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7"/>
      <x:c r="B174" s="7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7"/>
      <x:c r="B175" s="7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7"/>
      <x:c r="B176" s="7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7"/>
      <x:c r="B177" s="7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7"/>
      <x:c r="B178" s="7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7"/>
      <x:c r="B179" s="7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7"/>
      <x:c r="B180" s="7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7"/>
      <x:c r="B181" s="7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7"/>
      <x:c r="B182" s="7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7"/>
      <x:c r="B183" s="7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7"/>
      <x:c r="B184" s="7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7"/>
      <x:c r="B185" s="7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7"/>
      <x:c r="B186" s="7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7"/>
      <x:c r="B187" s="7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7"/>
      <x:c r="B188" s="7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7"/>
      <x:c r="B189" s="7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7"/>
      <x:c r="B190" s="7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7"/>
      <x:c r="B191" s="7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7"/>
      <x:c r="B192" s="7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7"/>
      <x:c r="B193" s="7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7"/>
      <x:c r="B194" s="7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7"/>
      <x:c r="B195" s="7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7"/>
      <x:c r="B196" s="7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7"/>
      <x:c r="B197" s="7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7"/>
      <x:c r="B198" s="7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7"/>
      <x:c r="B199" s="7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7"/>
      <x:c r="B200" s="7"/>
      <x:c r="C200" s="19"/>
      <x:c r="D200" s="19"/>
      <x:c r="E200" s="19"/>
      <x:c r="F200" s="19"/>
      <x:c r="G200" s="19"/>
      <x:c r="H200" s="19"/>
      <x:c r="I200" s="19"/>
      <x:c r="J200" s="19"/>
    </x:row>
  </x:sheetData>
  <x:pageMargins left="0.7" right="0.7" top="0.75" bottom="0.75" header="0.3" footer="0.3"/>
</x:worksheet>
</file>