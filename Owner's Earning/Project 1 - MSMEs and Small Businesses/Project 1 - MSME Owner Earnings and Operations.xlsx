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59945cc2d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e967ff4280a40d8"/>
    <x:sheet xmlns:r="http://schemas.openxmlformats.org/officeDocument/2006/relationships" name="Owner Earnings" sheetId="2" r:id="R4e02d677297e40ee"/>
    <x:sheet xmlns:r="http://schemas.openxmlformats.org/officeDocument/2006/relationships" name="Article Case" sheetId="3" r:id="Re477a1aa339c4df5"/>
    <x:sheet xmlns:r="http://schemas.openxmlformats.org/officeDocument/2006/relationships" name="Cash13W" sheetId="4" r:id="R768126ab2ee84e46"/>
    <x:sheet xmlns:r="http://schemas.openxmlformats.org/officeDocument/2006/relationships" name="Maintenance" sheetId="5" r:id="R479278667e4b438a"/>
    <x:sheet xmlns:r="http://schemas.openxmlformats.org/officeDocument/2006/relationships" name="Working Capital" sheetId="6" r:id="R9e17db4a553a4467"/>
    <x:sheet xmlns:r="http://schemas.openxmlformats.org/officeDocument/2006/relationships" name="Receivables" sheetId="7" r:id="R771e9012788c45e3"/>
    <x:sheet xmlns:r="http://schemas.openxmlformats.org/officeDocument/2006/relationships" name="Inventory" sheetId="8" r:id="R8c3e70dc1cac4f3e"/>
    <x:sheet xmlns:r="http://schemas.openxmlformats.org/officeDocument/2006/relationships" name="Payables" sheetId="9" r:id="R0294b0dcc5fe4f7c"/>
    <x:sheet xmlns:r="http://schemas.openxmlformats.org/officeDocument/2006/relationships" name="Action Log" sheetId="10" r:id="Rdd5173d550a94f62"/>
    <x:sheet xmlns:r="http://schemas.openxmlformats.org/officeDocument/2006/relationships" name="Unit Economics" sheetId="11" r:id="R8f4b744905974f2c"/>
    <x:sheet xmlns:r="http://schemas.openxmlformats.org/officeDocument/2006/relationships" name="Debt and Growth" sheetId="12" r:id="R1837b987913a45c3"/>
    <x:sheet xmlns:r="http://schemas.openxmlformats.org/officeDocument/2006/relationships" name="Buy Sell and Succession" sheetId="13" r:id="Re45e59ab57164f32"/>
    <x:sheet xmlns:r="http://schemas.openxmlformats.org/officeDocument/2006/relationships" name="Sources and Checks" sheetId="14" r:id="R9f2bccc356644fd2"/>
    <x:sheet xmlns:r="http://schemas.openxmlformats.org/officeDocument/2006/relationships" name="Evidence Vectors" sheetId="15" r:id="R81ef6b3d1ed5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;(#,##0);-"/>
    <x:numFmt numFmtId="201" formatCode="dd-mmm-yyyy"/>
    <x:numFmt numFmtId="202" formatCode="0.0"/>
    <x:numFmt numFmtId="203" formatCode="mmm-yy"/>
    <x:numFmt numFmtId="204" formatCode="0"/>
    <x:numFmt numFmtId="205" formatCode="0.0%;(0.0%);-"/>
    <x:numFmt numFmtId="206" formatCode="#,##0"/>
    <x:numFmt numFmtId="207" formatCode="0.00; (0.00); -"/>
    <x:numFmt numFmtId="208" formatCode="#,##0.0;(#,##0.0);-"/>
  </x:numFmts>
  <x:fonts count="12">
    <x:font>
      <x:sz val="11"/>
      <x:name val="Carlito"/>
    </x:font>
    <x:font>
      <x:b/>
      <x:sz val="15"/>
      <x:color rgb="FF17365D"/>
      <x:name val="Arial"/>
    </x:font>
    <x:font>
      <x:i/>
      <x:sz val="9"/>
      <x:color rgb="FF666666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222222"/>
      <x:name val="Arial"/>
    </x:font>
    <x:font>
      <x:sz val="10"/>
      <x:color rgb="FF0000FF"/>
      <x:name val="Arial"/>
    </x:font>
    <x:font>
      <x:b/>
      <x:sz val="10"/>
      <x:color rgb="FF17365D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6">
    <x:border/>
    <x:border>
      <x:left style="dashed">
        <x:color rgb="FF70AD47"/>
      </x:left>
      <x:top style="dashed">
        <x:color rgb="FF70AD47"/>
      </x:top>
      <x:bottom style="dashed">
        <x:color rgb="FF70AD47"/>
      </x:bottom>
    </x:border>
    <x:border>
      <x:right style="dashed">
        <x:color rgb="FF70AD47"/>
      </x:right>
      <x:top style="dashed">
        <x:color rgb="FF70AD47"/>
      </x:top>
      <x:bottom style="dashed">
        <x:color rgb="FF70AD47"/>
      </x:bottom>
    </x:border>
    <x:border>
      <x:bottom style="thin">
        <x:color rgb="FFE3E8EE"/>
      </x:bottom>
    </x:border>
    <x:border>
      <x:top style="thin">
        <x:color rgb="FFE3E8EE"/>
      </x:top>
      <x:bottom style="thin">
        <x:color rgb="FFE3E8EE"/>
      </x:bottom>
    </x:border>
    <x:border>
      <x:top style="thin">
        <x:color rgb="FFE3E8EE"/>
      </x:top>
      <x:bottom style="thin">
        <x:color rgb="FFB8C4D1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200" fontId="6" fillId="3" borderId="0" xfId="0" applyNumberFormat="1" applyFont="1" applyFill="1" applyBorder="1"/>
    <x:xf numFmtId="0" fontId="5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10" fillId="0" borderId="4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200" fontId="11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 wrapText="1"/>
    </x:xf>
    <x:xf numFmtId="200" fontId="11" fillId="4" borderId="4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 wrapText="1"/>
    </x:xf>
    <x:xf numFmtId="200" fontId="11" fillId="4" borderId="5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 wrapText="1"/>
    </x:xf>
    <x:xf numFmtId="200" fontId="7" fillId="4" borderId="4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 wrapText="1"/>
    </x:xf>
    <x:xf numFmtId="200" fontId="7" fillId="4" borderId="5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200" fontId="6" fillId="4" borderId="4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 wrapText="1"/>
    </x:xf>
    <x:xf numFmtId="200" fontId="6" fillId="7" borderId="5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20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/>
    <x:xf numFmtId="200" fontId="7" fillId="5" borderId="0" xfId="0" applyNumberFormat="1" applyFont="1" applyFill="1" applyBorder="1"/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/>
    <x:xf numFmtId="200" fontId="8" fillId="0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203" fontId="5" fillId="0" borderId="3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/>
    <x:xf numFmtId="201" fontId="6" fillId="0" borderId="3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/>
    <x:xf numFmtId="200" fontId="5" fillId="4" borderId="0" xfId="0" applyNumberFormat="1" applyFont="1" applyFill="1" applyBorder="1"/>
    <x:xf numFmtId="204" fontId="5" fillId="4" borderId="0" xfId="0" applyNumberFormat="1" applyFont="1" applyFill="1" applyBorder="1"/>
    <x:xf numFmtId="200" fontId="7" fillId="4" borderId="0" xfId="0" applyNumberFormat="1" applyFont="1" applyFill="1" applyBorder="1"/>
    <x:xf numFmtId="204" fontId="7" fillId="4" borderId="0" xfId="0" applyNumberFormat="1" applyFont="1" applyFill="1" applyBorder="1"/>
    <x:xf numFmtId="205" fontId="5" fillId="0" borderId="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5" fontId="5" fillId="0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6" fontId="5" fillId="0" borderId="3" xfId="0" applyNumberFormat="1" applyFont="1" applyFill="1" applyBorder="1" applyAlignment="1">
      <x:alignment vertical="center"/>
    </x:xf>
    <x:xf numFmtId="206" fontId="5" fillId="0" borderId="5" xfId="0" applyNumberFormat="1" applyFont="1" applyFill="1" applyBorder="1" applyAlignment="1">
      <x:alignment vertical="center"/>
    </x:xf>
    <x:xf numFmtId="205" fontId="6" fillId="0" borderId="3" xfId="0" applyNumberFormat="1" applyFont="1" applyFill="1" applyBorder="1" applyAlignment="1">
      <x:alignment vertical="center"/>
    </x:xf>
    <x:xf numFmtId="205" fontId="6" fillId="0" borderId="4" xfId="0" applyNumberFormat="1" applyFont="1" applyFill="1" applyBorder="1" applyAlignment="1">
      <x:alignment vertical="center"/>
    </x:xf>
    <x:xf numFmtId="205" fontId="6" fillId="0" borderId="5" xfId="0" applyNumberFormat="1" applyFont="1" applyFill="1" applyBorder="1" applyAlignment="1">
      <x:alignment vertical="center"/>
    </x:xf>
    <x:xf numFmtId="207" fontId="5" fillId="0" borderId="3" xfId="0" applyNumberFormat="1" applyFont="1" applyFill="1" applyBorder="1" applyAlignment="1">
      <x:alignment vertical="center"/>
    </x:xf>
    <x:xf numFmtId="207" fontId="5" fillId="0" borderId="4" xfId="0" applyNumberFormat="1" applyFont="1" applyFill="1" applyBorder="1" applyAlignment="1">
      <x:alignment vertical="center"/>
    </x:xf>
    <x:xf numFmtId="207" fontId="5" fillId="0" borderId="5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7" fillId="5" borderId="0" xfId="0" applyNumberFormat="1" applyFont="1" applyFill="1" applyBorder="1" applyAlignment="1">
      <x:alignment vertical="center"/>
    </x:xf>
    <x:xf numFmtId="208" fontId="5" fillId="0" borderId="3" xfId="0" applyNumberFormat="1" applyFont="1" applyFill="1" applyBorder="1" applyAlignment="1">
      <x:alignment vertical="center"/>
    </x:xf>
    <x:xf numFmtId="208" fontId="5" fillId="0" borderId="4" xfId="0" applyNumberFormat="1" applyFont="1" applyFill="1" applyBorder="1" applyAlignment="1">
      <x:alignment vertical="center"/>
    </x:xf>
    <x:xf numFmtId="208" fontId="5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1a127e58e4812" /><Relationship Type="http://schemas.openxmlformats.org/officeDocument/2006/relationships/theme" Target="/xl/theme/theme1.xml" Id="R6ea7b2e9e36945c6" /><Relationship Type="http://schemas.openxmlformats.org/officeDocument/2006/relationships/sharedStrings" Target="/xl/sharedStrings.xml" Id="R232ec03cb6824039" /><Relationship Type="http://schemas.openxmlformats.org/officeDocument/2006/relationships/worksheet" Target="/xl/worksheets/sheet1.xml" Id="R9e967ff4280a40d8" /><Relationship Type="http://schemas.openxmlformats.org/officeDocument/2006/relationships/worksheet" Target="/xl/worksheets/sheet2.xml" Id="R4e02d677297e40ee" /><Relationship Type="http://schemas.openxmlformats.org/officeDocument/2006/relationships/worksheet" Target="/xl/worksheets/sheet3.xml" Id="Re477a1aa339c4df5" /><Relationship Type="http://schemas.openxmlformats.org/officeDocument/2006/relationships/worksheet" Target="/xl/worksheets/sheet4.xml" Id="R768126ab2ee84e46" /><Relationship Type="http://schemas.openxmlformats.org/officeDocument/2006/relationships/worksheet" Target="/xl/worksheets/sheet5.xml" Id="R479278667e4b438a" /><Relationship Type="http://schemas.openxmlformats.org/officeDocument/2006/relationships/worksheet" Target="/xl/worksheets/sheet6.xml" Id="R9e17db4a553a4467" /><Relationship Type="http://schemas.openxmlformats.org/officeDocument/2006/relationships/worksheet" Target="/xl/worksheets/sheet7.xml" Id="R771e9012788c45e3" /><Relationship Type="http://schemas.openxmlformats.org/officeDocument/2006/relationships/worksheet" Target="/xl/worksheets/sheet8.xml" Id="R8c3e70dc1cac4f3e" /><Relationship Type="http://schemas.openxmlformats.org/officeDocument/2006/relationships/worksheet" Target="/xl/worksheets/sheet9.xml" Id="R0294b0dcc5fe4f7c" /><Relationship Type="http://schemas.openxmlformats.org/officeDocument/2006/relationships/worksheet" Target="/xl/worksheets/sheet10.xml" Id="Rdd5173d550a94f62" /><Relationship Type="http://schemas.openxmlformats.org/officeDocument/2006/relationships/worksheet" Target="/xl/worksheets/sheet11.xml" Id="R8f4b744905974f2c" /><Relationship Type="http://schemas.openxmlformats.org/officeDocument/2006/relationships/worksheet" Target="/xl/worksheets/sheet12.xml" Id="R1837b987913a45c3" /><Relationship Type="http://schemas.openxmlformats.org/officeDocument/2006/relationships/worksheet" Target="/xl/worksheets/sheet13.xml" Id="Re45e59ab57164f32" /><Relationship Type="http://schemas.openxmlformats.org/officeDocument/2006/relationships/worksheet" Target="/xl/worksheets/sheet14.xml" Id="R9f2bccc356644fd2" /><Relationship Type="http://schemas.openxmlformats.org/officeDocument/2006/relationships/worksheet" Target="/xl/worksheets/sheet15.xml" Id="R81ef6b3d1ed547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4" max="4" width="75" hidden="0" customWidth="1"/>
  </x:cols>
  <x:sheetData>
    <x:row r="1" ht="25" customHeight="1">
      <x:c r="A1" s="7"/>
      <x:c r="B1" s="7"/>
      <x:c r="C1" s="4" t="str">
        <x:v>Owner earnings and operating cash</x:v>
      </x:c>
      <x:c r="D1" s="4"/>
      <x:c r="E1" s="4"/>
      <x:c r="F1" s="4"/>
      <x:c r="G1" s="4"/>
      <x:c r="H1" s="4"/>
      <x:c r="I1" s="4"/>
    </x:row>
    <x:row r="2">
      <x:c r="A2" s="7"/>
      <x:c r="B2" s="7"/>
      <x:c r="C2" s="5" t="str">
        <x:v>Project 1 | Editable examples are fictional planning inputs. Replace them with reconciled company records before making a real decision.</x:v>
      </x:c>
      <x:c r="D2" s="5"/>
      <x:c r="E2" s="5"/>
      <x:c r="F2" s="5"/>
      <x:c r="G2" s="5"/>
      <x:c r="H2" s="5"/>
      <x:c r="I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</x:row>
    <x:row r="4">
      <x:c r="A4" s="7"/>
      <x:c r="B4" s="7"/>
      <x:c r="C4" s="13" t="str">
        <x:v>Case selected</x:v>
      </x:c>
      <x:c r="D4" s="14" t="str">
        <x:v>Base</x:v>
      </x:c>
      <x:c r="E4" s="6"/>
      <x:c r="F4" s="6"/>
      <x:c r="G4" s="6"/>
      <x:c r="H4" s="6"/>
      <x:c r="I4" s="6"/>
    </x:row>
    <x:row r="5">
      <x:c r="A5" s="7"/>
      <x:c r="B5" s="7"/>
      <x:c r="C5" s="6"/>
      <x:c r="D5" s="6"/>
      <x:c r="E5" s="6"/>
      <x:c r="F5" s="6"/>
      <x:c r="G5" s="6"/>
      <x:c r="H5" s="6"/>
      <x:c r="I5" s="6"/>
    </x:row>
    <x:row r="6">
      <x:c r="A6" s="7"/>
      <x:c r="B6" s="7"/>
      <x:c r="C6" s="4" t="str">
        <x:v>Starting unrestricted cash</x:v>
      </x:c>
      <x:c r="D6" s="15" t="n">
        <x:v>1200000</x:v>
      </x:c>
      <x:c r="E6" s="6"/>
      <x:c r="F6" s="6"/>
      <x:c r="G6" s="6"/>
      <x:c r="H6" s="6"/>
      <x:c r="I6" s="6"/>
    </x:row>
    <x:row r="7">
      <x:c r="A7" s="7"/>
      <x:c r="B7" s="7"/>
      <x:c r="C7" s="4" t="str">
        <x:v>Minimum operating cash floor</x:v>
      </x:c>
      <x:c r="D7" s="15" t="n">
        <x:v>500000</x:v>
      </x:c>
      <x:c r="E7" s="6"/>
      <x:c r="F7" s="6"/>
      <x:c r="G7" s="6"/>
      <x:c r="H7" s="6"/>
      <x:c r="I7" s="6"/>
    </x:row>
    <x:row r="8">
      <x:c r="A8" s="7"/>
      <x:c r="B8" s="7"/>
      <x:c r="C8" s="6"/>
      <x:c r="D8" s="6"/>
      <x:c r="E8" s="6"/>
      <x:c r="F8" s="6"/>
      <x:c r="G8" s="6"/>
      <x:c r="H8" s="6"/>
      <x:c r="I8" s="6"/>
    </x:row>
    <x:row r="9">
      <x:c r="A9" s="7"/>
      <x:c r="B9" s="7"/>
      <x:c r="C9" s="6"/>
      <x:c r="D9" s="6"/>
      <x:c r="E9" s="6"/>
      <x:c r="F9" s="6"/>
      <x:c r="G9" s="6"/>
      <x:c r="H9" s="6"/>
      <x:c r="I9" s="6"/>
    </x:row>
    <x:row r="10">
      <x:c r="A10" s="7"/>
      <x:c r="B10" s="7"/>
      <x:c r="C10" s="17" t="str">
        <x:v>Main outputs</x:v>
      </x:c>
      <x:c r="D10" s="17" t="str">
        <x:v>Selected case</x:v>
      </x:c>
      <x:c r="E10" s="6"/>
      <x:c r="F10" s="6"/>
      <x:c r="G10" s="6"/>
      <x:c r="H10" s="6"/>
      <x:c r="I10" s="6"/>
    </x:row>
    <x:row r="11">
      <x:c r="A11" s="7"/>
      <x:c r="B11" s="7"/>
      <x:c r="C11" s="4" t="str">
        <x:v>Owner earnings before debt principal</x:v>
      </x:c>
      <x:c r="D11" s="19" t="n">
        <x:f>'Owner Earnings'!D20</x:f>
        <x:v>2200000</x:v>
      </x:c>
      <x:c r="E11" s="6"/>
      <x:c r="F11" s="6"/>
      <x:c r="G11" s="6"/>
      <x:c r="H11" s="6"/>
      <x:c r="I11" s="6"/>
    </x:row>
    <x:row r="12">
      <x:c r="A12" s="7"/>
      <x:c r="B12" s="7"/>
      <x:c r="C12" s="4" t="str">
        <x:v>Residual cash after debt principal</x:v>
      </x:c>
      <x:c r="D12" s="19" t="n">
        <x:f>'Owner Earnings'!D21</x:f>
        <x:v>1600000</x:v>
      </x:c>
      <x:c r="E12" s="6"/>
      <x:c r="F12" s="6"/>
      <x:c r="G12" s="6"/>
      <x:c r="H12" s="6"/>
      <x:c r="I12" s="6"/>
    </x:row>
    <x:row r="13">
      <x:c r="A13" s="7"/>
      <x:c r="B13" s="7"/>
      <x:c r="C13" s="4" t="str">
        <x:v>Indicative cash after reserve top-up</x:v>
      </x:c>
      <x:c r="D13" s="19" t="n">
        <x:f>'Owner Earnings'!D22</x:f>
        <x:v>1200000</x:v>
      </x:c>
      <x:c r="E13" s="6"/>
      <x:c r="F13" s="6"/>
      <x:c r="G13" s="6"/>
      <x:c r="H13" s="6"/>
      <x:c r="I13" s="6"/>
    </x:row>
    <x:row r="14">
      <x:c r="A14" s="7"/>
      <x:c r="B14" s="7"/>
      <x:c r="C14" s="4" t="str">
        <x:v>Lowest 13-week cash</x:v>
      </x:c>
      <x:c r="D14" s="19" t="n">
        <x:f>'Cash13W'!D20</x:f>
        <x:v>1050000</x:v>
      </x:c>
      <x:c r="E14" s="6"/>
      <x:c r="F14" s="6"/>
      <x:c r="G14" s="6"/>
      <x:c r="H14" s="6"/>
      <x:c r="I14" s="6"/>
    </x:row>
    <x:row r="15">
      <x:c r="A15" s="7"/>
      <x:c r="B15" s="7"/>
      <x:c r="C15" s="4" t="str">
        <x:v>Cash-floor status</x:v>
      </x:c>
      <x:c r="D15" s="6" t="str">
        <x:f>IF(D14&lt;D7,"Cash floor breach","Above floor")</x:f>
        <x:v>Above floor</x:v>
      </x:c>
      <x:c r="E15" s="6"/>
      <x:c r="F15" s="6"/>
      <x:c r="G15" s="6"/>
      <x:c r="H15" s="6"/>
      <x:c r="I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</x:row>
    <x:row r="17">
      <x:c r="A17" s="7"/>
      <x:c r="B17" s="7"/>
      <x:c r="C17" s="4" t="str">
        <x:v>How to use</x:v>
      </x:c>
      <x:c r="D17" s="20" t="str">
        <x:v>Start with the owner earnings bridge; then test actual receipts and obligations in the cash forecast.</x:v>
      </x:c>
      <x:c r="E17" s="6"/>
      <x:c r="F17" s="6"/>
      <x:c r="G17" s="6"/>
      <x:c r="H17" s="6"/>
      <x:c r="I17" s="6"/>
    </x:row>
    <x:row r="18">
      <x:c r="A18" s="7"/>
      <x:c r="B18" s="7"/>
      <x:c r="C18" s="4" t="str">
        <x:v>Evidence rule</x:v>
      </x:c>
      <x:c r="D18" s="20" t="str">
        <x:v>Every blue input is fictional or user-entered. Cite and date real values in Sources &amp; Checks.</x:v>
      </x:c>
      <x:c r="E18" s="6"/>
      <x:c r="F18" s="6"/>
      <x:c r="G18" s="6"/>
      <x:c r="H18" s="6"/>
      <x:c r="I18" s="6"/>
    </x:row>
    <x:row r="19">
      <x:c r="A19" s="7"/>
      <x:c r="B19" s="7"/>
      <x:c r="C19" s="4" t="str">
        <x:v>Owner decision</x:v>
      </x:c>
      <x:c r="D19" s="20" t="str">
        <x:v>A cash estimate is not a distribution instruction. Keep tax, legal solvency, debt terms and operating reserve in view.</x:v>
      </x:c>
      <x:c r="E19" s="6"/>
      <x:c r="F19" s="6"/>
      <x:c r="G19" s="6"/>
      <x:c r="H19" s="6"/>
      <x:c r="I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</x:row>
    <x:row r="21">
      <x:c r="A21" s="7"/>
      <x:c r="B21" s="7"/>
      <x:c r="C21" s="4" t="str">
        <x:v>Part 1 workshop owner earnings</x:v>
      </x:c>
      <x:c r="D21" s="21" t="n">
        <x:f>'Article Case'!D13</x:f>
        <x:v>990000</x:v>
      </x:c>
      <x:c r="E21" s="6"/>
      <x:c r="F21" s="6"/>
      <x:c r="G21" s="6"/>
      <x:c r="H21" s="6"/>
      <x:c r="I21" s="6"/>
    </x:row>
    <x:row r="22">
      <x:c r="A22" s="7"/>
      <x:c r="B22" s="7"/>
      <x:c r="C22" s="4" t="str">
        <x:v>Part 1 provisional draw headroom</x:v>
      </x:c>
      <x:c r="D22" s="21" t="n">
        <x:f>'Article Case'!D31</x:f>
        <x:v>140000</x:v>
      </x:c>
      <x:c r="E22" s="6"/>
      <x:c r="F22" s="6"/>
      <x:c r="G22" s="6"/>
      <x:c r="H22" s="6"/>
      <x:c r="I22" s="6"/>
    </x:row>
    <x:row r="23">
      <x:c r="A23" s="7"/>
      <x:c r="B23" s="7"/>
      <x:c r="C23" s="4" t="str">
        <x:v>After disputed-receipt correction</x:v>
      </x:c>
      <x:c r="D23" s="21" t="n">
        <x:f>'Article Case'!D33</x:f>
        <x:v>-60000</x:v>
      </x:c>
      <x:c r="E23" s="6"/>
      <x:c r="F23" s="6"/>
      <x:c r="G23" s="6"/>
      <x:c r="H23" s="6"/>
      <x:c r="I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</x:row>
  </x:sheetData>
  <x:dataValidations count="1">
    <x:dataValidation type="list" sqref="D4">
      <x:formula1>"Base,Downside"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6" hidden="0" customWidth="1"/>
    <x:col min="4" max="4" width="19" hidden="0" customWidth="1"/>
    <x:col min="5" max="5" width="13" hidden="0" customWidth="1"/>
    <x:col min="6" max="6" width="70" hidden="0" customWidth="1"/>
  </x:cols>
  <x:sheetData>
    <x:row r="1" ht="25" customHeight="1">
      <x:c r="A1" s="7"/>
      <x:c r="B1" s="7"/>
      <x:c r="C1" s="4" t="str">
        <x:v>Owner earnings bridge</x:v>
      </x:c>
      <x:c r="D1" s="4"/>
      <x:c r="E1" s="4"/>
      <x:c r="F1" s="4"/>
      <x:c r="G1" s="4"/>
    </x:row>
    <x:row r="2">
      <x:c r="A2" s="7"/>
      <x:c r="B2" s="7"/>
      <x:c r="C2" s="5" t="str">
        <x:v>Illustrative KES example | Reported net income already includes tax and interest. Debt principal is shown below earnings; replacement owner labour is not an add-back.</x:v>
      </x:c>
      <x:c r="D2" s="5"/>
      <x:c r="E2" s="5"/>
      <x:c r="F2" s="5"/>
      <x:c r="G2" s="5"/>
    </x:row>
    <x:row r="3">
      <x:c r="A3" s="7"/>
      <x:c r="B3" s="7"/>
      <x:c r="C3" s="6"/>
      <x:c r="D3" s="6"/>
      <x:c r="E3" s="6"/>
      <x:c r="F3" s="6"/>
      <x:c r="G3" s="6"/>
    </x:row>
    <x:row r="4">
      <x:c r="A4" s="7"/>
      <x:c r="B4" s="7"/>
      <x:c r="C4" s="6"/>
      <x:c r="D4" s="6"/>
      <x:c r="E4" s="6"/>
      <x:c r="F4" s="6"/>
      <x:c r="G4" s="6"/>
    </x:row>
    <x:row r="5" ht="30" customHeight="1">
      <x:c r="A5" s="7"/>
      <x:c r="B5" s="7"/>
      <x:c r="C5" s="25" t="str">
        <x:v>Bridge item</x:v>
      </x:c>
      <x:c r="D5" s="25" t="str">
        <x:v>Annual amount</x:v>
      </x:c>
      <x:c r="E5" s="25" t="str">
        <x:v>Unit</x:v>
      </x:c>
      <x:c r="F5" s="25" t="str">
        <x:v>Evidence / treatment</x:v>
      </x:c>
      <x:c r="G5" s="6"/>
    </x:row>
    <x:row r="6">
      <x:c r="A6" s="7"/>
      <x:c r="B6" s="7"/>
      <x:c r="C6" s="30" t="str">
        <x:v>Annual revenue</x:v>
      </x:c>
      <x:c r="D6" s="36" t="n">
        <x:v>48000000</x:v>
      </x:c>
      <x:c r="E6" s="27" t="str">
        <x:v>KES</x:v>
      </x:c>
      <x:c r="F6" s="30" t="str">
        <x:v>Illustrative input</x:v>
      </x:c>
      <x:c r="G6" s="6"/>
    </x:row>
    <x:row r="7">
      <x:c r="A7" s="7"/>
      <x:c r="B7" s="7"/>
      <x:c r="C7" s="31" t="str">
        <x:v>Cost of sales</x:v>
      </x:c>
      <x:c r="D7" s="37" t="n">
        <x:v>32640000</x:v>
      </x:c>
      <x:c r="E7" s="28" t="str">
        <x:v>KES</x:v>
      </x:c>
      <x:c r="F7" s="31" t="str">
        <x:v>Illustrative input</x:v>
      </x:c>
      <x:c r="G7" s="6"/>
    </x:row>
    <x:row r="8">
      <x:c r="A8" s="7"/>
      <x:c r="B8" s="7"/>
      <x:c r="C8" s="31" t="str">
        <x:v>Gross profit</x:v>
      </x:c>
      <x:c r="D8" s="39" t="n">
        <x:f>D6-D7</x:f>
        <x:v>15360000</x:v>
      </x:c>
      <x:c r="E8" s="28" t="str">
        <x:v>KES</x:v>
      </x:c>
      <x:c r="F8" s="31" t="str">
        <x:v>Revenue less cost of sales</x:v>
      </x:c>
      <x:c r="G8" s="6"/>
    </x:row>
    <x:row r="9">
      <x:c r="A9" s="7"/>
      <x:c r="B9" s="7"/>
      <x:c r="C9" s="31" t="str">
        <x:v>Operating expenses, excluding owner labour</x:v>
      </x:c>
      <x:c r="D9" s="37" t="n">
        <x:v>7200000</x:v>
      </x:c>
      <x:c r="E9" s="28" t="str">
        <x:v>KES</x:v>
      </x:c>
      <x:c r="F9" s="31" t="str">
        <x:v>Illustrative input</x:v>
      </x:c>
      <x:c r="G9" s="6"/>
    </x:row>
    <x:row r="10">
      <x:c r="A10" s="7"/>
      <x:c r="B10" s="7"/>
      <x:c r="C10" s="31" t="str">
        <x:v>Owner compensation included in reported expense</x:v>
      </x:c>
      <x:c r="D10" s="37" t="n">
        <x:v>3000000</x:v>
      </x:c>
      <x:c r="E10" s="28" t="str">
        <x:v>KES</x:v>
      </x:c>
      <x:c r="F10" s="31" t="str">
        <x:v>Illustrative input</x:v>
      </x:c>
      <x:c r="G10" s="6"/>
    </x:row>
    <x:row r="11">
      <x:c r="A11" s="7"/>
      <x:c r="B11" s="7"/>
      <x:c r="C11" s="31" t="str">
        <x:v>Replacement management labour</x:v>
      </x:c>
      <x:c r="D11" s="37" t="n">
        <x:v>2200000</x:v>
      </x:c>
      <x:c r="E11" s="28" t="str">
        <x:v>KES</x:v>
      </x:c>
      <x:c r="F11" s="31" t="str">
        <x:v>Illustrative market-cost estimate</x:v>
      </x:c>
      <x:c r="G11" s="6"/>
    </x:row>
    <x:row r="12">
      <x:c r="A12" s="7"/>
      <x:c r="B12" s="7"/>
      <x:c r="C12" s="31" t="str">
        <x:v>Reported net income after tax and interest</x:v>
      </x:c>
      <x:c r="D12" s="37" t="n">
        <x:v>3200000</x:v>
      </x:c>
      <x:c r="E12" s="28" t="str">
        <x:v>KES</x:v>
      </x:c>
      <x:c r="F12" s="31" t="str">
        <x:v>Illustrative input</x:v>
      </x:c>
      <x:c r="G12" s="6"/>
    </x:row>
    <x:row r="13">
      <x:c r="A13" s="7"/>
      <x:c r="B13" s="7"/>
      <x:c r="C13" s="31" t="str">
        <x:v>Verified non-recurring expense add-backs</x:v>
      </x:c>
      <x:c r="D13" s="37" t="n">
        <x:v>0</x:v>
      </x:c>
      <x:c r="E13" s="28" t="str">
        <x:v>KES</x:v>
      </x:c>
      <x:c r="F13" s="31" t="str">
        <x:v>Enter only with invoice and future-cost test</x:v>
      </x:c>
      <x:c r="G13" s="6"/>
    </x:row>
    <x:row r="14">
      <x:c r="A14" s="7"/>
      <x:c r="B14" s="7"/>
      <x:c r="C14" s="31" t="str">
        <x:v>Depreciation and amortization</x:v>
      </x:c>
      <x:c r="D14" s="37" t="n">
        <x:v>900000</x:v>
      </x:c>
      <x:c r="E14" s="28" t="str">
        <x:v>KES</x:v>
      </x:c>
      <x:c r="F14" s="31" t="str">
        <x:v>Illustrative noncash charge</x:v>
      </x:c>
      <x:c r="G14" s="6"/>
    </x:row>
    <x:row r="15">
      <x:c r="A15" s="7"/>
      <x:c r="B15" s="7"/>
      <x:c r="C15" s="31" t="str">
        <x:v>Estimated maintenance investment</x:v>
      </x:c>
      <x:c r="D15" s="37" t="n">
        <x:v>1200000</x:v>
      </x:c>
      <x:c r="E15" s="28" t="str">
        <x:v>KES</x:v>
      </x:c>
      <x:c r="F15" s="31" t="str">
        <x:v>Illustrative asset-register estimate</x:v>
      </x:c>
      <x:c r="G15" s="6"/>
    </x:row>
    <x:row r="16">
      <x:c r="A16" s="7"/>
      <x:c r="B16" s="7"/>
      <x:c r="C16" s="31" t="str">
        <x:v>Incremental working capital required</x:v>
      </x:c>
      <x:c r="D16" s="37" t="n">
        <x:v>1500000</x:v>
      </x:c>
      <x:c r="E16" s="28" t="str">
        <x:v>KES</x:v>
      </x:c>
      <x:c r="F16" s="31" t="str">
        <x:v>Illustrative net cash investment</x:v>
      </x:c>
      <x:c r="G16" s="6"/>
    </x:row>
    <x:row r="17">
      <x:c r="A17" s="7"/>
      <x:c r="B17" s="7"/>
      <x:c r="C17" s="31" t="str">
        <x:v>Scheduled debt principal</x:v>
      </x:c>
      <x:c r="D17" s="37" t="n">
        <x:v>600000</x:v>
      </x:c>
      <x:c r="E17" s="28" t="str">
        <x:v>KES</x:v>
      </x:c>
      <x:c r="F17" s="31" t="str">
        <x:v>Illustrative cash repayment</x:v>
      </x:c>
      <x:c r="G17" s="6"/>
    </x:row>
    <x:row r="18">
      <x:c r="A18" s="7"/>
      <x:c r="B18" s="7"/>
      <x:c r="C18" s="31" t="str">
        <x:v>Reserve top-up needed</x:v>
      </x:c>
      <x:c r="D18" s="37" t="n">
        <x:v>400000</x:v>
      </x:c>
      <x:c r="E18" s="28" t="str">
        <x:v>KES</x:v>
      </x:c>
      <x:c r="F18" s="31" t="str">
        <x:v>Illustrative reserve decision</x:v>
      </x:c>
      <x:c r="G18" s="6"/>
    </x:row>
    <x:row r="19">
      <x:c r="A19" s="7"/>
      <x:c r="B19" s="7"/>
      <x:c r="C19" s="45" t="str">
        <x:v>Normalized profit after replacement labour</x:v>
      </x:c>
      <x:c r="D19" s="46" t="n">
        <x:f>D12+D10-D11+D13</x:f>
        <x:v>4000000</x:v>
      </x:c>
      <x:c r="E19" s="47" t="str">
        <x:v>KES</x:v>
      </x:c>
      <x:c r="F19" s="45" t="str">
        <x:v>Reported net income + owner pay - replacement pay + supported add-backs</x:v>
      </x:c>
      <x:c r="G19" s="6"/>
    </x:row>
    <x:row r="20">
      <x:c r="A20" s="7"/>
      <x:c r="B20" s="7"/>
      <x:c r="C20" s="54" t="str">
        <x:v>Owner earnings before debt principal</x:v>
      </x:c>
      <x:c r="D20" s="55" t="n">
        <x:f>D19+D14-D15-D16</x:f>
        <x:v>2200000</x:v>
      </x:c>
      <x:c r="E20" s="56" t="str">
        <x:v>KES</x:v>
      </x:c>
      <x:c r="F20" s="54" t="str">
        <x:v>Normalized profit + D&amp;A - maintenance - incremental working capital</x:v>
      </x:c>
      <x:c r="G20" s="6"/>
    </x:row>
    <x:row r="21">
      <x:c r="A21" s="7"/>
      <x:c r="B21" s="7"/>
      <x:c r="C21" s="54" t="str">
        <x:v>Residual cash after debt principal</x:v>
      </x:c>
      <x:c r="D21" s="55" t="n">
        <x:f>D20-D17</x:f>
        <x:v>1600000</x:v>
      </x:c>
      <x:c r="E21" s="56" t="str">
        <x:v>KES</x:v>
      </x:c>
      <x:c r="F21" s="54" t="str">
        <x:v>Owner earnings less scheduled principal</x:v>
      </x:c>
      <x:c r="G21" s="6"/>
    </x:row>
    <x:row r="22">
      <x:c r="A22" s="7"/>
      <x:c r="B22" s="7"/>
      <x:c r="C22" s="57" t="str">
        <x:v>Indicative cash after reserve top-up</x:v>
      </x:c>
      <x:c r="D22" s="58" t="n">
        <x:f>D21-D18</x:f>
        <x:v>1200000</x:v>
      </x:c>
      <x:c r="E22" s="59" t="str">
        <x:v>KES</x:v>
      </x:c>
      <x:c r="F22" s="57" t="str">
        <x:v>Residual cash less reserve top-up; not a legal dividend test</x:v>
      </x:c>
      <x:c r="G22" s="6"/>
    </x:row>
    <x:row r="23">
      <x:c r="A23" s="7"/>
      <x:c r="B23" s="7"/>
      <x:c r="C23" s="6"/>
      <x:c r="D23" s="6"/>
      <x:c r="E23" s="6"/>
      <x:c r="F23" s="6"/>
      <x:c r="G23" s="6"/>
    </x:row>
    <x:row r="24">
      <x:c r="A24" s="7"/>
      <x:c r="B24" s="7"/>
      <x:c r="C24" s="6"/>
      <x:c r="D24" s="6"/>
      <x:c r="E24" s="6"/>
      <x:c r="F24" s="6"/>
      <x:c r="G24" s="6"/>
    </x:row>
    <x:row r="25">
      <x:c r="A25" s="7"/>
      <x:c r="B25" s="7"/>
      <x:c r="C25" s="6"/>
      <x:c r="D25" s="6"/>
      <x:c r="E25" s="6"/>
      <x:c r="F25" s="6"/>
      <x:c r="G25" s="6"/>
    </x:row>
    <x:row r="26">
      <x:c r="A26" s="7"/>
      <x:c r="B26" s="7"/>
      <x:c r="C26" s="6"/>
      <x:c r="D26" s="6"/>
      <x:c r="E26" s="6"/>
      <x:c r="F26" s="6"/>
      <x:c r="G26" s="6"/>
    </x:row>
    <x:row r="27">
      <x:c r="A27" s="7"/>
      <x:c r="B27" s="7"/>
      <x:c r="C27" s="6"/>
      <x:c r="D27" s="6"/>
      <x:c r="E27" s="6"/>
      <x:c r="F27" s="6"/>
      <x:c r="G27" s="6"/>
    </x:row>
    <x:row r="28">
      <x:c r="A28" s="7"/>
      <x:c r="B28" s="7"/>
      <x:c r="C28" s="6"/>
      <x:c r="D28" s="6"/>
      <x:c r="E28" s="6"/>
      <x:c r="F28" s="6"/>
      <x:c r="G28" s="6"/>
    </x:row>
    <x:row r="29">
      <x:c r="A29" s="7"/>
      <x:c r="B29" s="7"/>
      <x:c r="C29" s="6"/>
      <x:c r="D29" s="6"/>
      <x:c r="E29" s="6"/>
      <x:c r="F29" s="6"/>
      <x:c r="G29" s="6"/>
    </x:row>
    <x:row r="30">
      <x:c r="A30" s="7"/>
      <x:c r="B30" s="7"/>
      <x:c r="C30" s="6"/>
      <x:c r="D30" s="6"/>
      <x:c r="E30" s="6"/>
      <x:c r="F30" s="6"/>
      <x:c r="G30" s="6"/>
    </x:row>
    <x:row r="31">
      <x:c r="A31" s="7"/>
      <x:c r="B31" s="7"/>
      <x:c r="C31" s="6"/>
      <x:c r="D31" s="6"/>
      <x:c r="E31" s="6"/>
      <x:c r="F31" s="6"/>
      <x:c r="G31" s="6"/>
    </x:row>
    <x:row r="32">
      <x:c r="A32" s="7"/>
      <x:c r="B32" s="7"/>
      <x:c r="C32" s="6"/>
      <x:c r="D32" s="6"/>
      <x:c r="E32" s="6"/>
      <x:c r="F32" s="6"/>
      <x:c r="G32" s="6"/>
    </x:row>
    <x:row r="33">
      <x:c r="A33" s="7"/>
      <x:c r="B33" s="7"/>
      <x:c r="C33" s="6"/>
      <x:c r="D33" s="6"/>
      <x:c r="E33" s="6"/>
      <x:c r="F33" s="6"/>
      <x:c r="G33" s="6"/>
    </x:row>
    <x:row r="34">
      <x:c r="A34" s="7"/>
      <x:c r="B34" s="7"/>
      <x:c r="C34" s="6"/>
      <x:c r="D34" s="6"/>
      <x:c r="E34" s="6"/>
      <x:c r="F34" s="6"/>
      <x:c r="G34" s="6"/>
    </x:row>
    <x:row r="35">
      <x:c r="A35" s="7"/>
      <x:c r="B35" s="7"/>
      <x:c r="C35" s="6"/>
      <x:c r="D35" s="6"/>
      <x:c r="E35" s="6"/>
      <x:c r="F35" s="6"/>
      <x:c r="G35" s="6"/>
    </x:row>
    <x:row r="36">
      <x:c r="A36" s="7"/>
      <x:c r="B36" s="7"/>
      <x:c r="C36" s="6"/>
      <x:c r="D36" s="6"/>
      <x:c r="E36" s="6"/>
      <x:c r="F36" s="6"/>
      <x:c r="G36" s="6"/>
    </x:row>
    <x:row r="37">
      <x:c r="A37" s="7"/>
      <x:c r="B37" s="7"/>
      <x:c r="C37" s="6"/>
      <x:c r="D37" s="6"/>
      <x:c r="E37" s="6"/>
      <x:c r="F37" s="6"/>
      <x:c r="G37" s="6"/>
    </x:row>
    <x:row r="38">
      <x:c r="A38" s="7"/>
      <x:c r="B38" s="7"/>
      <x:c r="C38" s="6"/>
      <x:c r="D38" s="6"/>
      <x:c r="E38" s="6"/>
      <x:c r="F38" s="6"/>
      <x:c r="G38" s="6"/>
    </x:row>
    <x:row r="39">
      <x:c r="A39" s="7"/>
      <x:c r="B39" s="7"/>
      <x:c r="C39" s="6"/>
      <x:c r="D39" s="6"/>
      <x:c r="E39" s="6"/>
      <x:c r="F39" s="6"/>
      <x:c r="G39" s="6"/>
    </x:row>
    <x:row r="40">
      <x:c r="A40" s="7"/>
      <x:c r="B40" s="7"/>
      <x:c r="C40" s="6"/>
      <x:c r="D40" s="6"/>
      <x:c r="E40" s="6"/>
      <x:c r="F40" s="6"/>
      <x:c r="G40" s="6"/>
    </x:row>
    <x:row r="41">
      <x:c r="A41" s="7"/>
      <x:c r="B41" s="7"/>
      <x:c r="C41" s="6"/>
      <x:c r="D41" s="6"/>
      <x:c r="E41" s="6"/>
      <x:c r="F41" s="6"/>
      <x:c r="G41" s="6"/>
    </x:row>
    <x:row r="42">
      <x:c r="A42" s="7"/>
      <x:c r="B42" s="7"/>
      <x:c r="C42" s="6"/>
      <x:c r="D42" s="6"/>
      <x:c r="E42" s="6"/>
      <x:c r="F42" s="6"/>
      <x:c r="G42" s="6"/>
    </x:row>
    <x:row r="43">
      <x:c r="A43" s="7"/>
      <x:c r="B43" s="7"/>
      <x:c r="C43" s="6"/>
      <x:c r="D43" s="6"/>
      <x:c r="E43" s="6"/>
      <x:c r="F43" s="6"/>
      <x:c r="G43" s="6"/>
    </x:row>
    <x:row r="44">
      <x:c r="A44" s="7"/>
      <x:c r="B44" s="7"/>
      <x:c r="C44" s="6"/>
      <x:c r="D44" s="6"/>
      <x:c r="E44" s="6"/>
      <x:c r="F44" s="6"/>
      <x:c r="G44" s="6"/>
    </x:row>
    <x:row r="45">
      <x:c r="A45" s="7"/>
      <x:c r="B45" s="7"/>
      <x:c r="C45" s="6"/>
      <x:c r="D45" s="6"/>
      <x:c r="E45" s="6"/>
      <x:c r="F45" s="6"/>
      <x:c r="G45" s="6"/>
    </x:row>
    <x:row r="46">
      <x:c r="A46" s="7"/>
      <x:c r="B46" s="7"/>
      <x:c r="C46" s="6"/>
      <x:c r="D46" s="6"/>
      <x:c r="E46" s="6"/>
      <x:c r="F46" s="6"/>
      <x:c r="G46" s="6"/>
    </x:row>
    <x:row r="47">
      <x:c r="A47" s="7"/>
      <x:c r="B47" s="7"/>
      <x:c r="C47" s="6"/>
      <x:c r="D47" s="6"/>
      <x:c r="E47" s="6"/>
      <x:c r="F47" s="6"/>
      <x:c r="G47" s="6"/>
    </x:row>
    <x:row r="48">
      <x:c r="A48" s="7"/>
      <x:c r="B48" s="7"/>
      <x:c r="C48" s="6"/>
      <x:c r="D48" s="6"/>
      <x:c r="E48" s="6"/>
      <x:c r="F48" s="6"/>
      <x:c r="G48" s="6"/>
    </x:row>
    <x:row r="49">
      <x:c r="A49" s="7"/>
      <x:c r="B49" s="7"/>
      <x:c r="C49" s="6"/>
      <x:c r="D49" s="6"/>
      <x:c r="E49" s="6"/>
      <x:c r="F49" s="6"/>
      <x:c r="G49" s="6"/>
    </x:row>
    <x:row r="50">
      <x:c r="A50" s="7"/>
      <x:c r="B50" s="7"/>
      <x:c r="C50" s="6"/>
      <x:c r="D50" s="6"/>
      <x:c r="E50" s="6"/>
      <x:c r="F50" s="6"/>
      <x:c r="G50" s="6"/>
    </x:row>
    <x:row r="51">
      <x:c r="A51" s="7"/>
      <x:c r="B51" s="7"/>
      <x:c r="C51" s="6"/>
      <x:c r="D51" s="6"/>
      <x:c r="E51" s="6"/>
      <x:c r="F51" s="6"/>
      <x:c r="G51" s="6"/>
    </x:row>
    <x:row r="52">
      <x:c r="A52" s="7"/>
      <x:c r="B52" s="7"/>
      <x:c r="C52" s="6"/>
      <x:c r="D52" s="6"/>
      <x:c r="E52" s="6"/>
      <x:c r="F52" s="6"/>
      <x:c r="G52" s="6"/>
    </x:row>
    <x:row r="53">
      <x:c r="A53" s="7"/>
      <x:c r="B53" s="7"/>
      <x:c r="C53" s="6"/>
      <x:c r="D53" s="6"/>
      <x:c r="E53" s="6"/>
      <x:c r="F53" s="6"/>
      <x:c r="G53" s="6"/>
    </x:row>
    <x:row r="54">
      <x:c r="A54" s="7"/>
      <x:c r="B54" s="7"/>
      <x:c r="C54" s="6"/>
      <x:c r="D54" s="6"/>
      <x:c r="E54" s="6"/>
      <x:c r="F54" s="6"/>
      <x:c r="G54" s="6"/>
    </x:row>
    <x:row r="55">
      <x:c r="A55" s="7"/>
      <x:c r="B55" s="7"/>
      <x:c r="C55" s="6"/>
      <x:c r="D55" s="6"/>
      <x:c r="E55" s="6"/>
      <x:c r="F55" s="6"/>
      <x:c r="G55" s="6"/>
    </x:row>
    <x:row r="56">
      <x:c r="A56" s="7"/>
      <x:c r="B56" s="7"/>
      <x:c r="C56" s="6"/>
      <x:c r="D56" s="6"/>
      <x:c r="E56" s="6"/>
      <x:c r="F56" s="6"/>
      <x:c r="G56" s="6"/>
    </x:row>
    <x:row r="57">
      <x:c r="A57" s="7"/>
      <x:c r="B57" s="7"/>
      <x:c r="C57" s="6"/>
      <x:c r="D57" s="6"/>
      <x:c r="E57" s="6"/>
      <x:c r="F57" s="6"/>
      <x:c r="G57" s="6"/>
    </x:row>
    <x:row r="58">
      <x:c r="A58" s="7"/>
      <x:c r="B58" s="7"/>
      <x:c r="C58" s="6"/>
      <x:c r="D58" s="6"/>
      <x:c r="E58" s="6"/>
      <x:c r="F58" s="6"/>
      <x:c r="G58" s="6"/>
    </x:row>
    <x:row r="59">
      <x:c r="A59" s="7"/>
      <x:c r="B59" s="7"/>
      <x:c r="C59" s="6"/>
      <x:c r="D59" s="6"/>
      <x:c r="E59" s="6"/>
      <x:c r="F59" s="6"/>
      <x:c r="G59" s="6"/>
    </x:row>
    <x:row r="60">
      <x:c r="A60" s="7"/>
      <x:c r="B60" s="7"/>
      <x:c r="C60" s="6"/>
      <x:c r="D60" s="6"/>
      <x:c r="E60" s="6"/>
      <x:c r="F60" s="6"/>
      <x:c r="G60" s="6"/>
    </x:row>
    <x:row r="61">
      <x:c r="A61" s="7"/>
      <x:c r="B61" s="7"/>
      <x:c r="C61" s="6"/>
      <x:c r="D61" s="6"/>
      <x:c r="E61" s="6"/>
      <x:c r="F61" s="6"/>
      <x:c r="G61" s="6"/>
    </x:row>
    <x:row r="62">
      <x:c r="A62" s="7"/>
      <x:c r="B62" s="7"/>
      <x:c r="C62" s="6"/>
      <x:c r="D62" s="6"/>
      <x:c r="E62" s="6"/>
      <x:c r="F62" s="6"/>
      <x:c r="G62" s="6"/>
    </x:row>
    <x:row r="63">
      <x:c r="A63" s="7"/>
      <x:c r="B63" s="7"/>
      <x:c r="C63" s="6"/>
      <x:c r="D63" s="6"/>
      <x:c r="E63" s="6"/>
      <x:c r="F63" s="6"/>
      <x:c r="G63" s="6"/>
    </x:row>
    <x:row r="64">
      <x:c r="A64" s="7"/>
      <x:c r="B64" s="7"/>
      <x:c r="C64" s="6"/>
      <x:c r="D64" s="6"/>
      <x:c r="E64" s="6"/>
      <x:c r="F64" s="6"/>
      <x:c r="G64" s="6"/>
    </x:row>
    <x:row r="65">
      <x:c r="A65" s="7"/>
      <x:c r="B65" s="7"/>
      <x:c r="C65" s="6"/>
      <x:c r="D65" s="6"/>
      <x:c r="E65" s="6"/>
      <x:c r="F65" s="6"/>
      <x:c r="G65" s="6"/>
    </x:row>
    <x:row r="66">
      <x:c r="A66" s="7"/>
      <x:c r="B66" s="7"/>
      <x:c r="C66" s="6"/>
      <x:c r="D66" s="6"/>
      <x:c r="E66" s="6"/>
      <x:c r="F66" s="6"/>
      <x:c r="G66" s="6"/>
    </x:row>
    <x:row r="67">
      <x:c r="A67" s="7"/>
      <x:c r="B67" s="7"/>
      <x:c r="C67" s="6"/>
      <x:c r="D67" s="6"/>
      <x:c r="E67" s="6"/>
      <x:c r="F67" s="6"/>
      <x:c r="G67" s="6"/>
    </x:row>
    <x:row r="68">
      <x:c r="A68" s="7"/>
      <x:c r="B68" s="7"/>
      <x:c r="C68" s="6"/>
      <x:c r="D68" s="6"/>
      <x:c r="E68" s="6"/>
      <x:c r="F68" s="6"/>
      <x:c r="G68" s="6"/>
    </x:row>
    <x:row r="69">
      <x:c r="A69" s="7"/>
      <x:c r="B69" s="7"/>
      <x:c r="C69" s="6"/>
      <x:c r="D69" s="6"/>
      <x:c r="E69" s="6"/>
      <x:c r="F69" s="6"/>
      <x:c r="G69" s="6"/>
    </x:row>
    <x:row r="70">
      <x:c r="A70" s="7"/>
      <x:c r="B70" s="7"/>
      <x:c r="C70" s="6"/>
      <x:c r="D70" s="6"/>
      <x:c r="E70" s="6"/>
      <x:c r="F70" s="6"/>
      <x:c r="G70" s="6"/>
    </x:row>
    <x:row r="71">
      <x:c r="A71" s="7"/>
      <x:c r="B71" s="7"/>
      <x:c r="C71" s="6"/>
      <x:c r="D71" s="6"/>
      <x:c r="E71" s="6"/>
      <x:c r="F71" s="6"/>
      <x:c r="G71" s="6"/>
    </x:row>
    <x:row r="72">
      <x:c r="A72" s="7"/>
      <x:c r="B72" s="7"/>
      <x:c r="C72" s="6"/>
      <x:c r="D72" s="6"/>
      <x:c r="E72" s="6"/>
      <x:c r="F72" s="6"/>
      <x:c r="G72" s="6"/>
    </x:row>
    <x:row r="73">
      <x:c r="A73" s="7"/>
      <x:c r="B73" s="7"/>
      <x:c r="C73" s="6"/>
      <x:c r="D73" s="6"/>
      <x:c r="E73" s="6"/>
      <x:c r="F73" s="6"/>
      <x:c r="G73" s="6"/>
    </x:row>
    <x:row r="74">
      <x:c r="A74" s="7"/>
      <x:c r="B74" s="7"/>
      <x:c r="C74" s="6"/>
      <x:c r="D74" s="6"/>
      <x:c r="E74" s="6"/>
      <x:c r="F74" s="6"/>
      <x:c r="G74" s="6"/>
    </x:row>
    <x:row r="75">
      <x:c r="A75" s="7"/>
      <x:c r="B75" s="7"/>
      <x:c r="C75" s="6"/>
      <x:c r="D75" s="6"/>
      <x:c r="E75" s="6"/>
      <x:c r="F75" s="6"/>
      <x:c r="G75" s="6"/>
    </x:row>
    <x:row r="76">
      <x:c r="A76" s="7"/>
      <x:c r="B76" s="7"/>
      <x:c r="C76" s="6"/>
      <x:c r="D76" s="6"/>
      <x:c r="E76" s="6"/>
      <x:c r="F76" s="6"/>
      <x:c r="G76" s="6"/>
    </x:row>
    <x:row r="77">
      <x:c r="A77" s="7"/>
      <x:c r="B77" s="7"/>
      <x:c r="C77" s="6"/>
      <x:c r="D77" s="6"/>
      <x:c r="E77" s="6"/>
      <x:c r="F77" s="6"/>
      <x:c r="G77" s="6"/>
    </x:row>
    <x:row r="78">
      <x:c r="A78" s="7"/>
      <x:c r="B78" s="7"/>
      <x:c r="C78" s="6"/>
      <x:c r="D78" s="6"/>
      <x:c r="E78" s="6"/>
      <x:c r="F78" s="6"/>
      <x:c r="G78" s="6"/>
    </x:row>
    <x:row r="79">
      <x:c r="A79" s="7"/>
      <x:c r="B79" s="7"/>
      <x:c r="C79" s="6"/>
      <x:c r="D79" s="6"/>
      <x:c r="E79" s="6"/>
      <x:c r="F79" s="6"/>
      <x:c r="G79" s="6"/>
    </x:row>
    <x:row r="80">
      <x:c r="A80" s="7"/>
      <x:c r="B80" s="7"/>
      <x:c r="C80" s="6"/>
      <x:c r="D80" s="6"/>
      <x:c r="E80" s="6"/>
      <x:c r="F80" s="6"/>
      <x:c r="G80" s="6"/>
    </x:row>
    <x:row r="81">
      <x:c r="A81" s="7"/>
      <x:c r="B81" s="7"/>
      <x:c r="C81" s="6"/>
      <x:c r="D81" s="6"/>
      <x:c r="E81" s="6"/>
      <x:c r="F81" s="6"/>
      <x:c r="G81" s="6"/>
    </x:row>
    <x:row r="82">
      <x:c r="A82" s="7"/>
      <x:c r="B82" s="7"/>
      <x:c r="C82" s="6"/>
      <x:c r="D82" s="6"/>
      <x:c r="E82" s="6"/>
      <x:c r="F82" s="6"/>
      <x:c r="G82" s="6"/>
    </x:row>
    <x:row r="83">
      <x:c r="A83" s="7"/>
      <x:c r="B83" s="7"/>
      <x:c r="C83" s="6"/>
      <x:c r="D83" s="6"/>
      <x:c r="E83" s="6"/>
      <x:c r="F83" s="6"/>
      <x:c r="G83" s="6"/>
    </x:row>
    <x:row r="84">
      <x:c r="A84" s="7"/>
      <x:c r="B84" s="7"/>
      <x:c r="C84" s="6"/>
      <x:c r="D84" s="6"/>
      <x:c r="E84" s="6"/>
      <x:c r="F84" s="6"/>
      <x:c r="G84" s="6"/>
    </x:row>
    <x:row r="85">
      <x:c r="A85" s="7"/>
      <x:c r="B85" s="7"/>
      <x:c r="C85" s="6"/>
      <x:c r="D85" s="6"/>
      <x:c r="E85" s="6"/>
      <x:c r="F85" s="6"/>
      <x:c r="G85" s="6"/>
    </x:row>
    <x:row r="86">
      <x:c r="A86" s="7"/>
      <x:c r="B86" s="7"/>
      <x:c r="C86" s="6"/>
      <x:c r="D86" s="6"/>
      <x:c r="E86" s="6"/>
      <x:c r="F86" s="6"/>
      <x:c r="G86" s="6"/>
    </x:row>
    <x:row r="87">
      <x:c r="A87" s="7"/>
      <x:c r="B87" s="7"/>
      <x:c r="C87" s="6"/>
      <x:c r="D87" s="6"/>
      <x:c r="E87" s="6"/>
      <x:c r="F87" s="6"/>
      <x:c r="G87" s="6"/>
    </x:row>
    <x:row r="88">
      <x:c r="A88" s="7"/>
      <x:c r="B88" s="7"/>
      <x:c r="C88" s="6"/>
      <x:c r="D88" s="6"/>
      <x:c r="E88" s="6"/>
      <x:c r="F88" s="6"/>
      <x:c r="G88" s="6"/>
    </x:row>
    <x:row r="89">
      <x:c r="A89" s="7"/>
      <x:c r="B89" s="7"/>
      <x:c r="C89" s="6"/>
      <x:c r="D89" s="6"/>
      <x:c r="E89" s="6"/>
      <x:c r="F89" s="6"/>
      <x:c r="G89" s="6"/>
    </x:row>
    <x:row r="90">
      <x:c r="A90" s="7"/>
      <x:c r="B90" s="7"/>
      <x:c r="C90" s="6"/>
      <x:c r="D90" s="6"/>
      <x:c r="E90" s="6"/>
      <x:c r="F90" s="6"/>
      <x:c r="G90" s="6"/>
    </x:row>
    <x:row r="91">
      <x:c r="A91" s="7"/>
      <x:c r="B91" s="7"/>
      <x:c r="C91" s="6"/>
      <x:c r="D91" s="6"/>
      <x:c r="E91" s="6"/>
      <x:c r="F91" s="6"/>
      <x:c r="G91" s="6"/>
    </x:row>
    <x:row r="92">
      <x:c r="A92" s="7"/>
      <x:c r="B92" s="7"/>
      <x:c r="C92" s="6"/>
      <x:c r="D92" s="6"/>
      <x:c r="E92" s="6"/>
      <x:c r="F92" s="6"/>
      <x:c r="G92" s="6"/>
    </x:row>
    <x:row r="93">
      <x:c r="A93" s="7"/>
      <x:c r="B93" s="7"/>
      <x:c r="C93" s="6"/>
      <x:c r="D93" s="6"/>
      <x:c r="E93" s="6"/>
      <x:c r="F93" s="6"/>
      <x:c r="G93" s="6"/>
    </x:row>
    <x:row r="94">
      <x:c r="A94" s="7"/>
      <x:c r="B94" s="7"/>
      <x:c r="C94" s="6"/>
      <x:c r="D94" s="6"/>
      <x:c r="E94" s="6"/>
      <x:c r="F94" s="6"/>
      <x:c r="G94" s="6"/>
    </x:row>
    <x:row r="95">
      <x:c r="A95" s="7"/>
      <x:c r="B95" s="7"/>
      <x:c r="C95" s="6"/>
      <x:c r="D95" s="6"/>
      <x:c r="E95" s="6"/>
      <x:c r="F95" s="6"/>
      <x:c r="G95" s="6"/>
    </x:row>
    <x:row r="96">
      <x:c r="A96" s="7"/>
      <x:c r="B96" s="7"/>
      <x:c r="C96" s="6"/>
      <x:c r="D96" s="6"/>
      <x:c r="E96" s="6"/>
      <x:c r="F96" s="6"/>
      <x:c r="G96" s="6"/>
    </x:row>
    <x:row r="97">
      <x:c r="A97" s="7"/>
      <x:c r="B97" s="7"/>
      <x:c r="C97" s="6"/>
      <x:c r="D97" s="6"/>
      <x:c r="E97" s="6"/>
      <x:c r="F97" s="6"/>
      <x:c r="G97" s="6"/>
    </x:row>
    <x:row r="98">
      <x:c r="A98" s="7"/>
      <x:c r="B98" s="7"/>
      <x:c r="C98" s="6"/>
      <x:c r="D98" s="6"/>
      <x:c r="E98" s="6"/>
      <x:c r="F98" s="6"/>
      <x:c r="G98" s="6"/>
    </x:row>
    <x:row r="99">
      <x:c r="A99" s="7"/>
      <x:c r="B99" s="7"/>
      <x:c r="C99" s="6"/>
      <x:c r="D99" s="6"/>
      <x:c r="E99" s="6"/>
      <x:c r="F99" s="6"/>
      <x:c r="G99" s="6"/>
    </x:row>
    <x:row r="100">
      <x:c r="A100" s="7"/>
      <x:c r="B100" s="7"/>
      <x:c r="C100" s="6"/>
      <x:c r="D100" s="6"/>
      <x:c r="E100" s="6"/>
      <x:c r="F100" s="6"/>
      <x:c r="G100" s="6"/>
    </x:row>
    <x:row r="101">
      <x:c r="A101" s="7"/>
      <x:c r="B101" s="7"/>
      <x:c r="C101" s="6"/>
      <x:c r="D101" s="6"/>
      <x:c r="E101" s="6"/>
      <x:c r="F101" s="6"/>
      <x:c r="G101" s="6"/>
    </x:row>
    <x:row r="102">
      <x:c r="A102" s="7"/>
      <x:c r="B102" s="7"/>
      <x:c r="C102" s="6"/>
      <x:c r="D102" s="6"/>
      <x:c r="E102" s="6"/>
      <x:c r="F102" s="6"/>
      <x:c r="G102" s="6"/>
    </x:row>
    <x:row r="103">
      <x:c r="A103" s="7"/>
      <x:c r="B103" s="7"/>
      <x:c r="C103" s="6"/>
      <x:c r="D103" s="6"/>
      <x:c r="E103" s="6"/>
      <x:c r="F103" s="6"/>
      <x:c r="G103" s="6"/>
    </x:row>
    <x:row r="104">
      <x:c r="A104" s="7"/>
      <x:c r="B104" s="7"/>
      <x:c r="C104" s="6"/>
      <x:c r="D104" s="6"/>
      <x:c r="E104" s="6"/>
      <x:c r="F104" s="6"/>
      <x:c r="G104" s="6"/>
    </x:row>
    <x:row r="105">
      <x:c r="A105" s="7"/>
      <x:c r="B105" s="7"/>
      <x:c r="C105" s="6"/>
      <x:c r="D105" s="6"/>
      <x:c r="E105" s="6"/>
      <x:c r="F105" s="6"/>
      <x:c r="G105" s="6"/>
    </x:row>
    <x:row r="106">
      <x:c r="A106" s="7"/>
      <x:c r="B106" s="7"/>
      <x:c r="C106" s="6"/>
      <x:c r="D106" s="6"/>
      <x:c r="E106" s="6"/>
      <x:c r="F106" s="6"/>
      <x:c r="G106" s="6"/>
    </x:row>
    <x:row r="107">
      <x:c r="A107" s="7"/>
      <x:c r="B107" s="7"/>
      <x:c r="C107" s="6"/>
      <x:c r="D107" s="6"/>
      <x:c r="E107" s="6"/>
      <x:c r="F107" s="6"/>
      <x:c r="G107" s="6"/>
    </x:row>
    <x:row r="108">
      <x:c r="A108" s="7"/>
      <x:c r="B108" s="7"/>
      <x:c r="C108" s="6"/>
      <x:c r="D108" s="6"/>
      <x:c r="E108" s="6"/>
      <x:c r="F108" s="6"/>
      <x:c r="G108" s="6"/>
    </x:row>
    <x:row r="109">
      <x:c r="A109" s="7"/>
      <x:c r="B109" s="7"/>
      <x:c r="C109" s="6"/>
      <x:c r="D109" s="6"/>
      <x:c r="E109" s="6"/>
      <x:c r="F109" s="6"/>
      <x:c r="G109" s="6"/>
    </x:row>
    <x:row r="110">
      <x:c r="A110" s="7"/>
      <x:c r="B110" s="7"/>
      <x:c r="C110" s="6"/>
      <x:c r="D110" s="6"/>
      <x:c r="E110" s="6"/>
      <x:c r="F110" s="6"/>
      <x:c r="G110" s="6"/>
    </x:row>
    <x:row r="111">
      <x:c r="A111" s="7"/>
      <x:c r="B111" s="7"/>
      <x:c r="C111" s="6"/>
      <x:c r="D111" s="6"/>
      <x:c r="E111" s="6"/>
      <x:c r="F111" s="6"/>
      <x:c r="G111" s="6"/>
    </x:row>
    <x:row r="112">
      <x:c r="A112" s="7"/>
      <x:c r="B112" s="7"/>
      <x:c r="C112" s="6"/>
      <x:c r="D112" s="6"/>
      <x:c r="E112" s="6"/>
      <x:c r="F112" s="6"/>
      <x:c r="G112" s="6"/>
    </x:row>
    <x:row r="113">
      <x:c r="A113" s="7"/>
      <x:c r="B113" s="7"/>
      <x:c r="C113" s="6"/>
      <x:c r="D113" s="6"/>
      <x:c r="E113" s="6"/>
      <x:c r="F113" s="6"/>
      <x:c r="G113" s="6"/>
    </x:row>
    <x:row r="114">
      <x:c r="A114" s="7"/>
      <x:c r="B114" s="7"/>
      <x:c r="C114" s="6"/>
      <x:c r="D114" s="6"/>
      <x:c r="E114" s="6"/>
      <x:c r="F114" s="6"/>
      <x:c r="G114" s="6"/>
    </x:row>
    <x:row r="115">
      <x:c r="A115" s="7"/>
      <x:c r="B115" s="7"/>
      <x:c r="C115" s="6"/>
      <x:c r="D115" s="6"/>
      <x:c r="E115" s="6"/>
      <x:c r="F115" s="6"/>
      <x:c r="G115" s="6"/>
    </x:row>
    <x:row r="116">
      <x:c r="A116" s="7"/>
      <x:c r="B116" s="7"/>
      <x:c r="C116" s="6"/>
      <x:c r="D116" s="6"/>
      <x:c r="E116" s="6"/>
      <x:c r="F116" s="6"/>
      <x:c r="G116" s="6"/>
    </x:row>
    <x:row r="117">
      <x:c r="A117" s="7"/>
      <x:c r="B117" s="7"/>
      <x:c r="C117" s="6"/>
      <x:c r="D117" s="6"/>
      <x:c r="E117" s="6"/>
      <x:c r="F117" s="6"/>
      <x:c r="G117" s="6"/>
    </x:row>
    <x:row r="118">
      <x:c r="A118" s="7"/>
      <x:c r="B118" s="7"/>
      <x:c r="C118" s="6"/>
      <x:c r="D118" s="6"/>
      <x:c r="E118" s="6"/>
      <x:c r="F118" s="6"/>
      <x:c r="G118" s="6"/>
    </x:row>
    <x:row r="119">
      <x:c r="A119" s="7"/>
      <x:c r="B119" s="7"/>
      <x:c r="C119" s="6"/>
      <x:c r="D119" s="6"/>
      <x:c r="E119" s="6"/>
      <x:c r="F119" s="6"/>
      <x:c r="G119" s="6"/>
    </x:row>
    <x:row r="120">
      <x:c r="A120" s="7"/>
      <x:c r="B120" s="7"/>
      <x:c r="C120" s="6"/>
      <x:c r="D120" s="6"/>
      <x:c r="E120" s="6"/>
      <x:c r="F120" s="6"/>
      <x:c r="G120" s="6"/>
    </x:row>
    <x:row r="121">
      <x:c r="A121" s="7"/>
      <x:c r="B121" s="7"/>
      <x:c r="C121" s="6"/>
      <x:c r="D121" s="6"/>
      <x:c r="E121" s="6"/>
      <x:c r="F121" s="6"/>
      <x:c r="G121" s="6"/>
    </x:row>
    <x:row r="122">
      <x:c r="A122" s="7"/>
      <x:c r="B122" s="7"/>
      <x:c r="C122" s="6"/>
      <x:c r="D122" s="6"/>
      <x:c r="E122" s="6"/>
      <x:c r="F122" s="6"/>
      <x:c r="G122" s="6"/>
    </x:row>
    <x:row r="123">
      <x:c r="A123" s="7"/>
      <x:c r="B123" s="7"/>
      <x:c r="C123" s="6"/>
      <x:c r="D123" s="6"/>
      <x:c r="E123" s="6"/>
      <x:c r="F123" s="6"/>
      <x:c r="G123" s="6"/>
    </x:row>
    <x:row r="124">
      <x:c r="A124" s="7"/>
      <x:c r="B124" s="7"/>
      <x:c r="C124" s="6"/>
      <x:c r="D124" s="6"/>
      <x:c r="E124" s="6"/>
      <x:c r="F124" s="6"/>
      <x:c r="G124" s="6"/>
    </x:row>
    <x:row r="125">
      <x:c r="A125" s="7"/>
      <x:c r="B125" s="7"/>
      <x:c r="C125" s="6"/>
      <x:c r="D125" s="6"/>
      <x:c r="E125" s="6"/>
      <x:c r="F125" s="6"/>
      <x:c r="G125" s="6"/>
    </x:row>
    <x:row r="126">
      <x:c r="A126" s="7"/>
      <x:c r="B126" s="7"/>
      <x:c r="C126" s="6"/>
      <x:c r="D126" s="6"/>
      <x:c r="E126" s="6"/>
      <x:c r="F126" s="6"/>
      <x:c r="G126" s="6"/>
    </x:row>
    <x:row r="127">
      <x:c r="A127" s="7"/>
      <x:c r="B127" s="7"/>
      <x:c r="C127" s="6"/>
      <x:c r="D127" s="6"/>
      <x:c r="E127" s="6"/>
      <x:c r="F127" s="6"/>
      <x:c r="G127" s="6"/>
    </x:row>
    <x:row r="128">
      <x:c r="A128" s="7"/>
      <x:c r="B128" s="7"/>
      <x:c r="C128" s="6"/>
      <x:c r="D128" s="6"/>
      <x:c r="E128" s="6"/>
      <x:c r="F128" s="6"/>
      <x:c r="G128" s="6"/>
    </x:row>
    <x:row r="129">
      <x:c r="A129" s="7"/>
      <x:c r="B129" s="7"/>
      <x:c r="C129" s="6"/>
      <x:c r="D129" s="6"/>
      <x:c r="E129" s="6"/>
      <x:c r="F129" s="6"/>
      <x:c r="G129" s="6"/>
    </x:row>
    <x:row r="130">
      <x:c r="A130" s="7"/>
      <x:c r="B130" s="7"/>
      <x:c r="C130" s="6"/>
      <x:c r="D130" s="6"/>
      <x:c r="E130" s="6"/>
      <x:c r="F130" s="6"/>
      <x:c r="G130" s="6"/>
    </x:row>
    <x:row r="131">
      <x:c r="A131" s="7"/>
      <x:c r="B131" s="7"/>
      <x:c r="C131" s="6"/>
      <x:c r="D131" s="6"/>
      <x:c r="E131" s="6"/>
      <x:c r="F131" s="6"/>
      <x:c r="G131" s="6"/>
    </x:row>
    <x:row r="132">
      <x:c r="A132" s="7"/>
      <x:c r="B132" s="7"/>
      <x:c r="C132" s="6"/>
      <x:c r="D132" s="6"/>
      <x:c r="E132" s="6"/>
      <x:c r="F132" s="6"/>
      <x:c r="G132" s="6"/>
    </x:row>
    <x:row r="133">
      <x:c r="A133" s="7"/>
      <x:c r="B133" s="7"/>
      <x:c r="C133" s="6"/>
      <x:c r="D133" s="6"/>
      <x:c r="E133" s="6"/>
      <x:c r="F133" s="6"/>
      <x:c r="G133" s="6"/>
    </x:row>
    <x:row r="134">
      <x:c r="A134" s="7"/>
      <x:c r="B134" s="7"/>
      <x:c r="C134" s="6"/>
      <x:c r="D134" s="6"/>
      <x:c r="E134" s="6"/>
      <x:c r="F134" s="6"/>
      <x:c r="G134" s="6"/>
    </x:row>
    <x:row r="135">
      <x:c r="A135" s="7"/>
      <x:c r="B135" s="7"/>
      <x:c r="C135" s="6"/>
      <x:c r="D135" s="6"/>
      <x:c r="E135" s="6"/>
      <x:c r="F135" s="6"/>
      <x:c r="G135" s="6"/>
    </x:row>
    <x:row r="136">
      <x:c r="A136" s="7"/>
      <x:c r="B136" s="7"/>
      <x:c r="C136" s="6"/>
      <x:c r="D136" s="6"/>
      <x:c r="E136" s="6"/>
      <x:c r="F136" s="6"/>
      <x:c r="G136" s="6"/>
    </x:row>
    <x:row r="137">
      <x:c r="A137" s="7"/>
      <x:c r="B137" s="7"/>
      <x:c r="C137" s="6"/>
      <x:c r="D137" s="6"/>
      <x:c r="E137" s="6"/>
      <x:c r="F137" s="6"/>
      <x:c r="G137" s="6"/>
    </x:row>
    <x:row r="138">
      <x:c r="A138" s="7"/>
      <x:c r="B138" s="7"/>
      <x:c r="C138" s="6"/>
      <x:c r="D138" s="6"/>
      <x:c r="E138" s="6"/>
      <x:c r="F138" s="6"/>
      <x:c r="G138" s="6"/>
    </x:row>
    <x:row r="139">
      <x:c r="A139" s="7"/>
      <x:c r="B139" s="7"/>
      <x:c r="C139" s="6"/>
      <x:c r="D139" s="6"/>
      <x:c r="E139" s="6"/>
      <x:c r="F139" s="6"/>
      <x:c r="G139" s="6"/>
    </x:row>
    <x:row r="140">
      <x:c r="A140" s="7"/>
      <x:c r="B140" s="7"/>
      <x:c r="C140" s="6"/>
      <x:c r="D140" s="6"/>
      <x:c r="E140" s="6"/>
      <x:c r="F140" s="6"/>
      <x:c r="G140" s="6"/>
    </x:row>
    <x:row r="141">
      <x:c r="A141" s="7"/>
      <x:c r="B141" s="7"/>
      <x:c r="C141" s="6"/>
      <x:c r="D141" s="6"/>
      <x:c r="E141" s="6"/>
      <x:c r="F141" s="6"/>
      <x:c r="G141" s="6"/>
    </x:row>
    <x:row r="142">
      <x:c r="A142" s="7"/>
      <x:c r="B142" s="7"/>
      <x:c r="C142" s="6"/>
      <x:c r="D142" s="6"/>
      <x:c r="E142" s="6"/>
      <x:c r="F142" s="6"/>
      <x:c r="G142" s="6"/>
    </x:row>
    <x:row r="143">
      <x:c r="A143" s="7"/>
      <x:c r="B143" s="7"/>
      <x:c r="C143" s="6"/>
      <x:c r="D143" s="6"/>
      <x:c r="E143" s="6"/>
      <x:c r="F143" s="6"/>
      <x:c r="G143" s="6"/>
    </x:row>
    <x:row r="144">
      <x:c r="A144" s="7"/>
      <x:c r="B144" s="7"/>
      <x:c r="C144" s="6"/>
      <x:c r="D144" s="6"/>
      <x:c r="E144" s="6"/>
      <x:c r="F144" s="6"/>
      <x:c r="G144" s="6"/>
    </x:row>
    <x:row r="145">
      <x:c r="A145" s="7"/>
      <x:c r="B145" s="7"/>
      <x:c r="C145" s="6"/>
      <x:c r="D145" s="6"/>
      <x:c r="E145" s="6"/>
      <x:c r="F145" s="6"/>
      <x:c r="G145" s="6"/>
    </x:row>
    <x:row r="146">
      <x:c r="A146" s="7"/>
      <x:c r="B146" s="7"/>
      <x:c r="C146" s="6"/>
      <x:c r="D146" s="6"/>
      <x:c r="E146" s="6"/>
      <x:c r="F146" s="6"/>
      <x:c r="G146" s="6"/>
    </x:row>
    <x:row r="147">
      <x:c r="A147" s="7"/>
      <x:c r="B147" s="7"/>
      <x:c r="C147" s="6"/>
      <x:c r="D147" s="6"/>
      <x:c r="E147" s="6"/>
      <x:c r="F147" s="6"/>
      <x:c r="G147" s="6"/>
    </x:row>
    <x:row r="148">
      <x:c r="A148" s="7"/>
      <x:c r="B148" s="7"/>
      <x:c r="C148" s="6"/>
      <x:c r="D148" s="6"/>
      <x:c r="E148" s="6"/>
      <x:c r="F148" s="6"/>
      <x:c r="G148" s="6"/>
    </x:row>
    <x:row r="149">
      <x:c r="A149" s="7"/>
      <x:c r="B149" s="7"/>
      <x:c r="C149" s="6"/>
      <x:c r="D149" s="6"/>
      <x:c r="E149" s="6"/>
      <x:c r="F149" s="6"/>
      <x:c r="G149" s="6"/>
    </x:row>
    <x:row r="150">
      <x:c r="A150" s="7"/>
      <x:c r="B150" s="7"/>
      <x:c r="C150" s="6"/>
      <x:c r="D150" s="6"/>
      <x:c r="E150" s="6"/>
      <x:c r="F150" s="6"/>
      <x:c r="G150" s="6"/>
    </x:row>
    <x:row r="151">
      <x:c r="A151" s="7"/>
      <x:c r="B151" s="7"/>
      <x:c r="C151" s="6"/>
      <x:c r="D151" s="6"/>
      <x:c r="E151" s="6"/>
      <x:c r="F151" s="6"/>
      <x:c r="G151" s="6"/>
    </x:row>
    <x:row r="152">
      <x:c r="A152" s="7"/>
      <x:c r="B152" s="7"/>
      <x:c r="C152" s="6"/>
      <x:c r="D152" s="6"/>
      <x:c r="E152" s="6"/>
      <x:c r="F152" s="6"/>
      <x:c r="G152" s="6"/>
    </x:row>
    <x:row r="153">
      <x:c r="A153" s="7"/>
      <x:c r="B153" s="7"/>
      <x:c r="C153" s="6"/>
      <x:c r="D153" s="6"/>
      <x:c r="E153" s="6"/>
      <x:c r="F153" s="6"/>
      <x:c r="G153" s="6"/>
    </x:row>
    <x:row r="154">
      <x:c r="A154" s="7"/>
      <x:c r="B154" s="7"/>
      <x:c r="C154" s="6"/>
      <x:c r="D154" s="6"/>
      <x:c r="E154" s="6"/>
      <x:c r="F154" s="6"/>
      <x:c r="G154" s="6"/>
    </x:row>
    <x:row r="155">
      <x:c r="A155" s="7"/>
      <x:c r="B155" s="7"/>
      <x:c r="C155" s="6"/>
      <x:c r="D155" s="6"/>
      <x:c r="E155" s="6"/>
      <x:c r="F155" s="6"/>
      <x:c r="G155" s="6"/>
    </x:row>
    <x:row r="156">
      <x:c r="A156" s="7"/>
      <x:c r="B156" s="7"/>
      <x:c r="C156" s="6"/>
      <x:c r="D156" s="6"/>
      <x:c r="E156" s="6"/>
      <x:c r="F156" s="6"/>
      <x:c r="G156" s="6"/>
    </x:row>
    <x:row r="157">
      <x:c r="A157" s="7"/>
      <x:c r="B157" s="7"/>
      <x:c r="C157" s="6"/>
      <x:c r="D157" s="6"/>
      <x:c r="E157" s="6"/>
      <x:c r="F157" s="6"/>
      <x:c r="G157" s="6"/>
    </x:row>
    <x:row r="158">
      <x:c r="A158" s="7"/>
      <x:c r="B158" s="7"/>
      <x:c r="C158" s="6"/>
      <x:c r="D158" s="6"/>
      <x:c r="E158" s="6"/>
      <x:c r="F158" s="6"/>
      <x:c r="G158" s="6"/>
    </x:row>
    <x:row r="159">
      <x:c r="A159" s="7"/>
      <x:c r="B159" s="7"/>
      <x:c r="C159" s="6"/>
      <x:c r="D159" s="6"/>
      <x:c r="E159" s="6"/>
      <x:c r="F159" s="6"/>
      <x:c r="G159" s="6"/>
    </x:row>
    <x:row r="160">
      <x:c r="A160" s="7"/>
      <x:c r="B160" s="7"/>
      <x:c r="C160" s="6"/>
      <x:c r="D160" s="6"/>
      <x:c r="E160" s="6"/>
      <x:c r="F160" s="6"/>
      <x:c r="G160" s="6"/>
    </x:row>
    <x:row r="161">
      <x:c r="A161" s="7"/>
      <x:c r="B161" s="7"/>
      <x:c r="C161" s="6"/>
      <x:c r="D161" s="6"/>
      <x:c r="E161" s="6"/>
      <x:c r="F161" s="6"/>
      <x:c r="G161" s="6"/>
    </x:row>
    <x:row r="162">
      <x:c r="A162" s="7"/>
      <x:c r="B162" s="7"/>
      <x:c r="C162" s="6"/>
      <x:c r="D162" s="6"/>
      <x:c r="E162" s="6"/>
      <x:c r="F162" s="6"/>
      <x:c r="G162" s="6"/>
    </x:row>
    <x:row r="163">
      <x:c r="A163" s="7"/>
      <x:c r="B163" s="7"/>
      <x:c r="C163" s="6"/>
      <x:c r="D163" s="6"/>
      <x:c r="E163" s="6"/>
      <x:c r="F163" s="6"/>
      <x:c r="G163" s="6"/>
    </x:row>
    <x:row r="164">
      <x:c r="A164" s="7"/>
      <x:c r="B164" s="7"/>
      <x:c r="C164" s="6"/>
      <x:c r="D164" s="6"/>
      <x:c r="E164" s="6"/>
      <x:c r="F164" s="6"/>
      <x:c r="G164" s="6"/>
    </x:row>
    <x:row r="165">
      <x:c r="A165" s="7"/>
      <x:c r="B165" s="7"/>
      <x:c r="C165" s="6"/>
      <x:c r="D165" s="6"/>
      <x:c r="E165" s="6"/>
      <x:c r="F165" s="6"/>
      <x:c r="G165" s="6"/>
    </x:row>
    <x:row r="166">
      <x:c r="A166" s="7"/>
      <x:c r="B166" s="7"/>
      <x:c r="C166" s="6"/>
      <x:c r="D166" s="6"/>
      <x:c r="E166" s="6"/>
      <x:c r="F166" s="6"/>
      <x:c r="G166" s="6"/>
    </x:row>
    <x:row r="167">
      <x:c r="A167" s="7"/>
      <x:c r="B167" s="7"/>
      <x:c r="C167" s="6"/>
      <x:c r="D167" s="6"/>
      <x:c r="E167" s="6"/>
      <x:c r="F167" s="6"/>
      <x:c r="G167" s="6"/>
    </x:row>
    <x:row r="168">
      <x:c r="A168" s="7"/>
      <x:c r="B168" s="7"/>
      <x:c r="C168" s="6"/>
      <x:c r="D168" s="6"/>
      <x:c r="E168" s="6"/>
      <x:c r="F168" s="6"/>
      <x:c r="G168" s="6"/>
    </x:row>
    <x:row r="169">
      <x:c r="A169" s="7"/>
      <x:c r="B169" s="7"/>
      <x:c r="C169" s="6"/>
      <x:c r="D169" s="6"/>
      <x:c r="E169" s="6"/>
      <x:c r="F169" s="6"/>
      <x:c r="G169" s="6"/>
    </x:row>
    <x:row r="170">
      <x:c r="A170" s="7"/>
      <x:c r="B170" s="7"/>
      <x:c r="C170" s="6"/>
      <x:c r="D170" s="6"/>
      <x:c r="E170" s="6"/>
      <x:c r="F170" s="6"/>
      <x:c r="G170" s="6"/>
    </x:row>
    <x:row r="171">
      <x:c r="A171" s="7"/>
      <x:c r="B171" s="7"/>
      <x:c r="C171" s="6"/>
      <x:c r="D171" s="6"/>
      <x:c r="E171" s="6"/>
      <x:c r="F171" s="6"/>
      <x:c r="G171" s="6"/>
    </x:row>
    <x:row r="172">
      <x:c r="A172" s="7"/>
      <x:c r="B172" s="7"/>
      <x:c r="C172" s="6"/>
      <x:c r="D172" s="6"/>
      <x:c r="E172" s="6"/>
      <x:c r="F172" s="6"/>
      <x:c r="G172" s="6"/>
    </x:row>
    <x:row r="173">
      <x:c r="A173" s="7"/>
      <x:c r="B173" s="7"/>
      <x:c r="C173" s="6"/>
      <x:c r="D173" s="6"/>
      <x:c r="E173" s="6"/>
      <x:c r="F173" s="6"/>
      <x:c r="G173" s="6"/>
    </x:row>
    <x:row r="174">
      <x:c r="A174" s="7"/>
      <x:c r="B174" s="7"/>
      <x:c r="C174" s="6"/>
      <x:c r="D174" s="6"/>
      <x:c r="E174" s="6"/>
      <x:c r="F174" s="6"/>
      <x:c r="G174" s="6"/>
    </x:row>
    <x:row r="175">
      <x:c r="A175" s="7"/>
      <x:c r="B175" s="7"/>
      <x:c r="C175" s="6"/>
      <x:c r="D175" s="6"/>
      <x:c r="E175" s="6"/>
      <x:c r="F175" s="6"/>
      <x:c r="G175" s="6"/>
    </x:row>
    <x:row r="176">
      <x:c r="A176" s="7"/>
      <x:c r="B176" s="7"/>
      <x:c r="C176" s="6"/>
      <x:c r="D176" s="6"/>
      <x:c r="E176" s="6"/>
      <x:c r="F176" s="6"/>
      <x:c r="G176" s="6"/>
    </x:row>
    <x:row r="177">
      <x:c r="A177" s="7"/>
      <x:c r="B177" s="7"/>
      <x:c r="C177" s="6"/>
      <x:c r="D177" s="6"/>
      <x:c r="E177" s="6"/>
      <x:c r="F177" s="6"/>
      <x:c r="G177" s="6"/>
    </x:row>
    <x:row r="178">
      <x:c r="A178" s="7"/>
      <x:c r="B178" s="7"/>
      <x:c r="C178" s="6"/>
      <x:c r="D178" s="6"/>
      <x:c r="E178" s="6"/>
      <x:c r="F178" s="6"/>
      <x:c r="G178" s="6"/>
    </x:row>
    <x:row r="179">
      <x:c r="A179" s="7"/>
      <x:c r="B179" s="7"/>
      <x:c r="C179" s="6"/>
      <x:c r="D179" s="6"/>
      <x:c r="E179" s="6"/>
      <x:c r="F179" s="6"/>
      <x:c r="G179" s="6"/>
    </x:row>
    <x:row r="180">
      <x:c r="A180" s="7"/>
      <x:c r="B180" s="7"/>
      <x:c r="C180" s="6"/>
      <x:c r="D180" s="6"/>
      <x:c r="E180" s="6"/>
      <x:c r="F180" s="6"/>
      <x:c r="G180" s="6"/>
    </x:row>
    <x:row r="181">
      <x:c r="A181" s="7"/>
      <x:c r="B181" s="7"/>
      <x:c r="C181" s="6"/>
      <x:c r="D181" s="6"/>
      <x:c r="E181" s="6"/>
      <x:c r="F181" s="6"/>
      <x:c r="G181" s="6"/>
    </x:row>
    <x:row r="182">
      <x:c r="A182" s="7"/>
      <x:c r="B182" s="7"/>
      <x:c r="C182" s="6"/>
      <x:c r="D182" s="6"/>
      <x:c r="E182" s="6"/>
      <x:c r="F182" s="6"/>
      <x:c r="G182" s="6"/>
    </x:row>
    <x:row r="183">
      <x:c r="A183" s="7"/>
      <x:c r="B183" s="7"/>
      <x:c r="C183" s="6"/>
      <x:c r="D183" s="6"/>
      <x:c r="E183" s="6"/>
      <x:c r="F183" s="6"/>
      <x:c r="G183" s="6"/>
    </x:row>
    <x:row r="184">
      <x:c r="A184" s="7"/>
      <x:c r="B184" s="7"/>
      <x:c r="C184" s="6"/>
      <x:c r="D184" s="6"/>
      <x:c r="E184" s="6"/>
      <x:c r="F184" s="6"/>
      <x:c r="G184" s="6"/>
    </x:row>
    <x:row r="185">
      <x:c r="A185" s="7"/>
      <x:c r="B185" s="7"/>
      <x:c r="C185" s="6"/>
      <x:c r="D185" s="6"/>
      <x:c r="E185" s="6"/>
      <x:c r="F185" s="6"/>
      <x:c r="G185" s="6"/>
    </x:row>
    <x:row r="186">
      <x:c r="A186" s="7"/>
      <x:c r="B186" s="7"/>
      <x:c r="C186" s="6"/>
      <x:c r="D186" s="6"/>
      <x:c r="E186" s="6"/>
      <x:c r="F186" s="6"/>
      <x:c r="G186" s="6"/>
    </x:row>
    <x:row r="187">
      <x:c r="A187" s="7"/>
      <x:c r="B187" s="7"/>
      <x:c r="C187" s="6"/>
      <x:c r="D187" s="6"/>
      <x:c r="E187" s="6"/>
      <x:c r="F187" s="6"/>
      <x:c r="G187" s="6"/>
    </x:row>
    <x:row r="188">
      <x:c r="A188" s="7"/>
      <x:c r="B188" s="7"/>
      <x:c r="C188" s="6"/>
      <x:c r="D188" s="6"/>
      <x:c r="E188" s="6"/>
      <x:c r="F188" s="6"/>
      <x:c r="G188" s="6"/>
    </x:row>
    <x:row r="189">
      <x:c r="A189" s="7"/>
      <x:c r="B189" s="7"/>
      <x:c r="C189" s="6"/>
      <x:c r="D189" s="6"/>
      <x:c r="E189" s="6"/>
      <x:c r="F189" s="6"/>
      <x:c r="G189" s="6"/>
    </x:row>
    <x:row r="190">
      <x:c r="A190" s="7"/>
      <x:c r="B190" s="7"/>
      <x:c r="C190" s="6"/>
      <x:c r="D190" s="6"/>
      <x:c r="E190" s="6"/>
      <x:c r="F190" s="6"/>
      <x:c r="G190" s="6"/>
    </x:row>
    <x:row r="191">
      <x:c r="A191" s="7"/>
      <x:c r="B191" s="7"/>
      <x:c r="C191" s="6"/>
      <x:c r="D191" s="6"/>
      <x:c r="E191" s="6"/>
      <x:c r="F191" s="6"/>
      <x:c r="G191" s="6"/>
    </x:row>
    <x:row r="192">
      <x:c r="A192" s="7"/>
      <x:c r="B192" s="7"/>
      <x:c r="C192" s="6"/>
      <x:c r="D192" s="6"/>
      <x:c r="E192" s="6"/>
      <x:c r="F192" s="6"/>
      <x:c r="G192" s="6"/>
    </x:row>
    <x:row r="193">
      <x:c r="A193" s="7"/>
      <x:c r="B193" s="7"/>
      <x:c r="C193" s="6"/>
      <x:c r="D193" s="6"/>
      <x:c r="E193" s="6"/>
      <x:c r="F193" s="6"/>
      <x:c r="G193" s="6"/>
    </x:row>
    <x:row r="194">
      <x:c r="A194" s="7"/>
      <x:c r="B194" s="7"/>
      <x:c r="C194" s="6"/>
      <x:c r="D194" s="6"/>
      <x:c r="E194" s="6"/>
      <x:c r="F194" s="6"/>
      <x:c r="G194" s="6"/>
    </x:row>
    <x:row r="195">
      <x:c r="A195" s="7"/>
      <x:c r="B195" s="7"/>
      <x:c r="C195" s="6"/>
      <x:c r="D195" s="6"/>
      <x:c r="E195" s="6"/>
      <x:c r="F195" s="6"/>
      <x:c r="G195" s="6"/>
    </x:row>
    <x:row r="196">
      <x:c r="A196" s="7"/>
      <x:c r="B196" s="7"/>
      <x:c r="C196" s="6"/>
      <x:c r="D196" s="6"/>
      <x:c r="E196" s="6"/>
      <x:c r="F196" s="6"/>
      <x:c r="G196" s="6"/>
    </x:row>
    <x:row r="197">
      <x:c r="A197" s="7"/>
      <x:c r="B197" s="7"/>
      <x:c r="C197" s="6"/>
      <x:c r="D197" s="6"/>
      <x:c r="E197" s="6"/>
      <x:c r="F197" s="6"/>
      <x:c r="G197" s="6"/>
    </x:row>
    <x:row r="198">
      <x:c r="A198" s="7"/>
      <x:c r="B198" s="7"/>
      <x:c r="C198" s="6"/>
      <x:c r="D198" s="6"/>
      <x:c r="E198" s="6"/>
      <x:c r="F198" s="6"/>
      <x:c r="G198" s="6"/>
    </x:row>
    <x:row r="199">
      <x:c r="A199" s="7"/>
      <x:c r="B199" s="7"/>
      <x:c r="C199" s="6"/>
      <x:c r="D199" s="6"/>
      <x:c r="E199" s="6"/>
      <x:c r="F199" s="6"/>
      <x:c r="G199" s="6"/>
    </x:row>
    <x:row r="200">
      <x:c r="A200" s="7"/>
      <x:c r="B200" s="7"/>
      <x:c r="C200" s="6"/>
      <x:c r="D200" s="6"/>
      <x:c r="E200" s="6"/>
      <x:c r="F200" s="6"/>
      <x:c r="G20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1" topLeftCell="A22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7" hidden="0" customWidth="1"/>
    <x:col min="4" max="4" width="20" hidden="0" customWidth="1"/>
    <x:col min="5" max="5" width="13" hidden="0" customWidth="1"/>
    <x:col min="6" max="6" width="76" hidden="0" customWidth="1"/>
  </x:cols>
  <x:sheetData>
    <x:row r="1" ht="25" customHeight="1">
      <x:c r="A1" s="7"/>
      <x:c r="B1" s="7"/>
      <x:c r="C1" s="4" t="str">
        <x:v>Part 1 workshop bridge and dated draw test</x:v>
      </x:c>
      <x:c r="D1" s="4"/>
      <x:c r="E1" s="4"/>
      <x:c r="F1" s="4"/>
      <x:c r="G1" s="4"/>
    </x:row>
    <x:row r="2">
      <x:c r="A2" s="7"/>
      <x:c r="B2" s="7"/>
      <x:c r="C2" s="5" t="str">
        <x:v>Reproduces the fictional workshop figures in Part 1 and Appendix 01. This matched article case is separate from the general editable Owner Earnings example.</x:v>
      </x:c>
      <x:c r="D2" s="5"/>
      <x:c r="E2" s="5"/>
      <x:c r="F2" s="5"/>
      <x:c r="G2" s="5"/>
    </x:row>
    <x:row r="3">
      <x:c r="A3" s="7"/>
      <x:c r="B3" s="7"/>
      <x:c r="C3" s="6"/>
      <x:c r="D3" s="6"/>
      <x:c r="E3" s="6"/>
      <x:c r="F3" s="6"/>
      <x:c r="G3" s="6"/>
    </x:row>
    <x:row r="4">
      <x:c r="A4" s="7"/>
      <x:c r="B4" s="7"/>
      <x:c r="C4" s="6"/>
      <x:c r="D4" s="6"/>
      <x:c r="E4" s="6"/>
      <x:c r="F4" s="6"/>
      <x:c r="G4" s="6"/>
    </x:row>
    <x:row r="5" ht="30" customHeight="1">
      <x:c r="A5" s="7"/>
      <x:c r="B5" s="7"/>
      <x:c r="C5" s="25" t="str">
        <x:v>Article bridge item</x:v>
      </x:c>
      <x:c r="D5" s="25" t="str">
        <x:v>Amount</x:v>
      </x:c>
      <x:c r="E5" s="25" t="str">
        <x:v>Unit</x:v>
      </x:c>
      <x:c r="F5" s="25" t="str">
        <x:v>Treatment / evidence</x:v>
      </x:c>
      <x:c r="G5" s="6"/>
    </x:row>
    <x:row r="6">
      <x:c r="A6" s="7"/>
      <x:c r="B6" s="7"/>
      <x:c r="C6" s="30" t="str">
        <x:v>Reported net income after proprietor pay</x:v>
      </x:c>
      <x:c r="D6" s="36" t="n">
        <x:v>1800000</x:v>
      </x:c>
      <x:c r="E6" s="27" t="str">
        <x:v>KES</x:v>
      </x:c>
      <x:c r="F6" s="30" t="str">
        <x:v>Part 1 fictional workshop case</x:v>
      </x:c>
      <x:c r="G6" s="6"/>
    </x:row>
    <x:row r="7">
      <x:c r="A7" s="7"/>
      <x:c r="B7" s="7"/>
      <x:c r="C7" s="31" t="str">
        <x:v>Proprietor compensation already included</x:v>
      </x:c>
      <x:c r="D7" s="37" t="n">
        <x:v>900000</x:v>
      </x:c>
      <x:c r="E7" s="28" t="str">
        <x:v>KES</x:v>
      </x:c>
      <x:c r="F7" s="31" t="str">
        <x:v>Already included in reported net income</x:v>
      </x:c>
      <x:c r="G7" s="6"/>
    </x:row>
    <x:row r="8">
      <x:c r="A8" s="7"/>
      <x:c r="B8" s="7"/>
      <x:c r="C8" s="31" t="str">
        <x:v>Market cost to replace manager and mechanic</x:v>
      </x:c>
      <x:c r="D8" s="37" t="n">
        <x:v>1200000</x:v>
      </x:c>
      <x:c r="E8" s="28" t="str">
        <x:v>KES</x:v>
      </x:c>
      <x:c r="F8" s="31" t="str">
        <x:v>Fictional market-cost estimate</x:v>
      </x:c>
      <x:c r="G8" s="6"/>
    </x:row>
    <x:row r="9">
      <x:c r="A9" s="7"/>
      <x:c r="B9" s="7"/>
      <x:c r="C9" s="31" t="str">
        <x:v>Replacement-pay shortfall</x:v>
      </x:c>
      <x:c r="D9" s="40" t="n">
        <x:f>D8-D7</x:f>
        <x:v>300000</x:v>
      </x:c>
      <x:c r="E9" s="28" t="str">
        <x:v>KES</x:v>
      </x:c>
      <x:c r="F9" s="31" t="str">
        <x:v>Only the excess replacement cost is deducted</x:v>
      </x:c>
      <x:c r="G9" s="6"/>
    </x:row>
    <x:row r="10">
      <x:c r="A10" s="7"/>
      <x:c r="B10" s="7"/>
      <x:c r="C10" s="31" t="str">
        <x:v>Depreciation and amortization</x:v>
      </x:c>
      <x:c r="D10" s="37" t="n">
        <x:v>240000</x:v>
      </x:c>
      <x:c r="E10" s="28" t="str">
        <x:v>KES</x:v>
      </x:c>
      <x:c r="F10" s="31" t="str">
        <x:v>Noncash charge in the article case</x:v>
      </x:c>
      <x:c r="G10" s="6"/>
    </x:row>
    <x:row r="11">
      <x:c r="A11" s="7"/>
      <x:c r="B11" s="7"/>
      <x:c r="C11" s="31" t="str">
        <x:v>Maintenance investment</x:v>
      </x:c>
      <x:c r="D11" s="37" t="n">
        <x:v>380000</x:v>
      </x:c>
      <x:c r="E11" s="28" t="str">
        <x:v>KES</x:v>
      </x:c>
      <x:c r="F11" s="31" t="str">
        <x:v>Replacement assets supporting current service</x:v>
      </x:c>
      <x:c r="G11" s="6"/>
    </x:row>
    <x:row r="12">
      <x:c r="A12" s="7"/>
      <x:c r="B12" s="7"/>
      <x:c r="C12" s="31" t="str">
        <x:v>Incremental operating working capital</x:v>
      </x:c>
      <x:c r="D12" s="37" t="n">
        <x:v>370000</x:v>
      </x:c>
      <x:c r="E12" s="28" t="str">
        <x:v>KES</x:v>
      </x:c>
      <x:c r="F12" s="31" t="str">
        <x:v>Receivables + inventory - trade payables</x:v>
      </x:c>
      <x:c r="G12" s="6"/>
    </x:row>
    <x:row r="13">
      <x:c r="A13" s="7"/>
      <x:c r="B13" s="7"/>
      <x:c r="C13" s="54" t="str">
        <x:v>Normalized owner earnings</x:v>
      </x:c>
      <x:c r="D13" s="55" t="n">
        <x:f>D6+D10-D11-D12-D9</x:f>
        <x:v>990000</x:v>
      </x:c>
      <x:c r="E13" s="56" t="str">
        <x:v>KES</x:v>
      </x:c>
      <x:c r="F13" s="54" t="str">
        <x:v>After replacement-pay shortfall, maintenance and incremental working capital</x:v>
      </x:c>
      <x:c r="G13" s="6"/>
    </x:row>
    <x:row r="14">
      <x:c r="A14" s="7"/>
      <x:c r="B14" s="7"/>
      <x:c r="C14" s="31" t="str">
        <x:v>Total equipment capex</x:v>
      </x:c>
      <x:c r="D14" s="37" t="n">
        <x:v>680000</x:v>
      </x:c>
      <x:c r="E14" s="28" t="str">
        <x:v>KES</x:v>
      </x:c>
      <x:c r="F14" s="31" t="str">
        <x:v>Historical fictional case</x:v>
      </x:c>
      <x:c r="G14" s="6"/>
    </x:row>
    <x:row r="15">
      <x:c r="A15" s="7"/>
      <x:c r="B15" s="7"/>
      <x:c r="C15" s="31" t="str">
        <x:v>Maintenance / replacement equipment</x:v>
      </x:c>
      <x:c r="D15" s="37" t="n">
        <x:v>380000</x:v>
      </x:c>
      <x:c r="E15" s="28" t="str">
        <x:v>KES</x:v>
      </x:c>
      <x:c r="F15" s="31" t="str">
        <x:v>Two lifts and diagnostic unit</x:v>
      </x:c>
      <x:c r="G15" s="6"/>
    </x:row>
    <x:row r="16">
      <x:c r="A16" s="7"/>
      <x:c r="B16" s="7"/>
      <x:c r="C16" s="31" t="str">
        <x:v>Second-bay growth fit-out</x:v>
      </x:c>
      <x:c r="D16" s="37" t="n">
        <x:v>300000</x:v>
      </x:c>
      <x:c r="E16" s="28" t="str">
        <x:v>KES</x:v>
      </x:c>
      <x:c r="F16" s="31" t="str">
        <x:v>Separate growth investment, not maintenance</x:v>
      </x:c>
      <x:c r="G16" s="6"/>
    </x:row>
    <x:row r="17">
      <x:c r="A17" s="7"/>
      <x:c r="B17" s="7"/>
      <x:c r="C17" s="31" t="str">
        <x:v>Cash from operations before other accruals</x:v>
      </x:c>
      <x:c r="D17" s="40" t="n">
        <x:f>D6+D10-D12</x:f>
        <x:v>1670000</x:v>
      </x:c>
      <x:c r="E17" s="28" t="str">
        <x:v>KES</x:v>
      </x:c>
      <x:c r="F17" s="31" t="str">
        <x:v>Partial bridge: profit + D&amp;A - incremental working capital</x:v>
      </x:c>
      <x:c r="G17" s="6"/>
    </x:row>
    <x:row r="18">
      <x:c r="A18" s="7"/>
      <x:c r="B18" s="7"/>
      <x:c r="C18" s="32" t="str">
        <x:v>Historical cash after total capex proxy</x:v>
      </x:c>
      <x:c r="D18" s="41" t="n">
        <x:f>D17-D14</x:f>
        <x:v>990000</x:v>
      </x:c>
      <x:c r="E18" s="29" t="str">
        <x:v>KES</x:v>
      </x:c>
      <x:c r="F18" s="32" t="str">
        <x:v>Not normalized owner earnings</x:v>
      </x:c>
      <x:c r="G18" s="6"/>
    </x:row>
    <x:row r="19">
      <x:c r="A19" s="7"/>
      <x:c r="B19" s="7"/>
      <x:c r="C19" s="6"/>
      <x:c r="D19" s="6"/>
      <x:c r="E19" s="6"/>
      <x:c r="F19" s="6"/>
      <x:c r="G19" s="6"/>
    </x:row>
    <x:row r="20">
      <x:c r="A20" s="7"/>
      <x:c r="B20" s="7"/>
      <x:c r="C20" s="6"/>
      <x:c r="D20" s="6"/>
      <x:c r="E20" s="6"/>
      <x:c r="F20" s="6"/>
      <x:c r="G20" s="6"/>
    </x:row>
    <x:row r="21" ht="30" customHeight="1">
      <x:c r="A21" s="7"/>
      <x:c r="B21" s="7"/>
      <x:c r="C21" s="25" t="str">
        <x:v>Dated cash item</x:v>
      </x:c>
      <x:c r="D21" s="25" t="str">
        <x:v>Amount</x:v>
      </x:c>
      <x:c r="E21" s="25" t="str">
        <x:v>Unit</x:v>
      </x:c>
      <x:c r="F21" s="25" t="str">
        <x:v>Treatment / evidence</x:v>
      </x:c>
      <x:c r="G21" s="6"/>
    </x:row>
    <x:row r="22">
      <x:c r="A22" s="7"/>
      <x:c r="B22" s="7"/>
      <x:c r="C22" s="30" t="str">
        <x:v>Bank cash on the decision date</x:v>
      </x:c>
      <x:c r="D22" s="36" t="n">
        <x:v>1200000</x:v>
      </x:c>
      <x:c r="E22" s="27" t="str">
        <x:v>KES</x:v>
      </x:c>
      <x:c r="F22" s="30" t="str">
        <x:v>Fictional dated liquidity example</x:v>
      </x:c>
      <x:c r="G22" s="6"/>
    </x:row>
    <x:row r="23">
      <x:c r="A23" s="7"/>
      <x:c r="B23" s="7"/>
      <x:c r="C23" s="31" t="str">
        <x:v>Upcoming payroll</x:v>
      </x:c>
      <x:c r="D23" s="37" t="n">
        <x:v>250000</x:v>
      </x:c>
      <x:c r="E23" s="28" t="str">
        <x:v>KES</x:v>
      </x:c>
      <x:c r="F23" s="31" t="str">
        <x:v>Due use</x:v>
      </x:c>
      <x:c r="G23" s="6"/>
    </x:row>
    <x:row r="24">
      <x:c r="A24" s="7"/>
      <x:c r="B24" s="7"/>
      <x:c r="C24" s="31" t="str">
        <x:v>Critical suppliers</x:v>
      </x:c>
      <x:c r="D24" s="37" t="n">
        <x:v>260000</x:v>
      </x:c>
      <x:c r="E24" s="28" t="str">
        <x:v>KES</x:v>
      </x:c>
      <x:c r="F24" s="31" t="str">
        <x:v>Due use</x:v>
      </x:c>
      <x:c r="G24" s="6"/>
    </x:row>
    <x:row r="25">
      <x:c r="A25" s="7"/>
      <x:c r="B25" s="7"/>
      <x:c r="C25" s="31" t="str">
        <x:v>Rent and utilities</x:v>
      </x:c>
      <x:c r="D25" s="37" t="n">
        <x:v>80000</x:v>
      </x:c>
      <x:c r="E25" s="28" t="str">
        <x:v>KES</x:v>
      </x:c>
      <x:c r="F25" s="31" t="str">
        <x:v>Due use</x:v>
      </x:c>
      <x:c r="G25" s="6"/>
    </x:row>
    <x:row r="26">
      <x:c r="A26" s="7"/>
      <x:c r="B26" s="7"/>
      <x:c r="C26" s="31" t="str">
        <x:v>Taxes</x:v>
      </x:c>
      <x:c r="D26" s="37" t="n">
        <x:v>90000</x:v>
      </x:c>
      <x:c r="E26" s="28" t="str">
        <x:v>KES</x:v>
      </x:c>
      <x:c r="F26" s="31" t="str">
        <x:v>Due use</x:v>
      </x:c>
      <x:c r="G26" s="6"/>
    </x:row>
    <x:row r="27">
      <x:c r="A27" s="7"/>
      <x:c r="B27" s="7"/>
      <x:c r="C27" s="31" t="str">
        <x:v>Loan principal</x:v>
      </x:c>
      <x:c r="D27" s="37" t="n">
        <x:v>100000</x:v>
      </x:c>
      <x:c r="E27" s="28" t="str">
        <x:v>KES</x:v>
      </x:c>
      <x:c r="F27" s="31" t="str">
        <x:v>Due use</x:v>
      </x:c>
      <x:c r="G27" s="6"/>
    </x:row>
    <x:row r="28">
      <x:c r="A28" s="7"/>
      <x:c r="B28" s="7"/>
      <x:c r="C28" s="31" t="str">
        <x:v>Prepaid order completion</x:v>
      </x:c>
      <x:c r="D28" s="37" t="n">
        <x:v>130000</x:v>
      </x:c>
      <x:c r="E28" s="28" t="str">
        <x:v>KES</x:v>
      </x:c>
      <x:c r="F28" s="31" t="str">
        <x:v>Cash required to fulfil customer commitment</x:v>
      </x:c>
      <x:c r="G28" s="6"/>
    </x:row>
    <x:row r="29">
      <x:c r="A29" s="7"/>
      <x:c r="B29" s="7"/>
      <x:c r="C29" s="45" t="str">
        <x:v>Total listed near-term uses</x:v>
      </x:c>
      <x:c r="D29" s="46" t="n">
        <x:f>SUM(D23:D28)</x:f>
        <x:v>910000</x:v>
      </x:c>
      <x:c r="E29" s="47" t="str">
        <x:v>KES</x:v>
      </x:c>
      <x:c r="F29" s="45" t="str">
        <x:v>Sum of dated uses above</x:v>
      </x:c>
      <x:c r="G29" s="6"/>
    </x:row>
    <x:row r="30">
      <x:c r="A30" s="7"/>
      <x:c r="B30" s="7"/>
      <x:c r="C30" s="31" t="str">
        <x:v>Reserve floor</x:v>
      </x:c>
      <x:c r="D30" s="37" t="n">
        <x:v>150000</x:v>
      </x:c>
      <x:c r="E30" s="28" t="str">
        <x:v>KES</x:v>
      </x:c>
      <x:c r="F30" s="31" t="str">
        <x:v>Minimum retained cash in this example</x:v>
      </x:c>
      <x:c r="G30" s="6"/>
    </x:row>
    <x:row r="31">
      <x:c r="A31" s="7"/>
      <x:c r="B31" s="7"/>
      <x:c r="C31" s="54" t="str">
        <x:v>Provisional headroom before disputed receipt</x:v>
      </x:c>
      <x:c r="D31" s="55" t="n">
        <x:f>D22-D29-D30</x:f>
        <x:v>140000</x:v>
      </x:c>
      <x:c r="E31" s="56" t="str">
        <x:v>KES</x:v>
      </x:c>
      <x:c r="F31" s="54" t="str">
        <x:v>Cash less listed uses and reserve; not a legal distribution test</x:v>
      </x:c>
      <x:c r="G31" s="6"/>
    </x:row>
    <x:row r="32">
      <x:c r="A32" s="7"/>
      <x:c r="B32" s="7"/>
      <x:c r="C32" s="31" t="str">
        <x:v>Disputed receipt mistakenly counted</x:v>
      </x:c>
      <x:c r="D32" s="37" t="n">
        <x:v>200000</x:v>
      </x:c>
      <x:c r="E32" s="28" t="str">
        <x:v>KES</x:v>
      </x:c>
      <x:c r="F32" s="31" t="str">
        <x:v>Remove if it is not collected and reconciled</x:v>
      </x:c>
      <x:c r="G32" s="6"/>
    </x:row>
    <x:row r="33">
      <x:c r="A33" s="7"/>
      <x:c r="B33" s="7"/>
      <x:c r="C33" s="64" t="str">
        <x:v>Headroom after removing disputed receipt</x:v>
      </x:c>
      <x:c r="D33" s="65" t="n">
        <x:f>D31-D32</x:f>
        <x:v>-60000</x:v>
      </x:c>
      <x:c r="E33" s="66" t="str">
        <x:v>KES</x:v>
      </x:c>
      <x:c r="F33" s="64" t="str">
        <x:v>Negative result means no provisional draw</x:v>
      </x:c>
      <x:c r="G33" s="6"/>
    </x:row>
    <x:row r="34">
      <x:c r="A34" s="7"/>
      <x:c r="B34" s="7"/>
      <x:c r="C34" s="6"/>
      <x:c r="D34" s="6"/>
      <x:c r="E34" s="6"/>
      <x:c r="F34" s="6"/>
      <x:c r="G34" s="6"/>
    </x:row>
    <x:row r="35">
      <x:c r="A35" s="7"/>
      <x:c r="B35" s="7"/>
      <x:c r="C35" s="6"/>
      <x:c r="D35" s="6"/>
      <x:c r="E35" s="6"/>
      <x:c r="F35" s="6"/>
      <x:c r="G35" s="6"/>
    </x:row>
    <x:row r="36">
      <x:c r="A36" s="7"/>
      <x:c r="B36" s="7"/>
      <x:c r="C36" s="17" t="str">
        <x:v>Owner-earnings bridge residual</x:v>
      </x:c>
      <x:c r="D36" s="68" t="n">
        <x:f>D13-(D6+D10-D11-D12-D9)</x:f>
        <x:v>0</x:v>
      </x:c>
      <x:c r="E36" s="6"/>
      <x:c r="F36" s="6"/>
      <x:c r="G36" s="6"/>
    </x:row>
    <x:row r="37">
      <x:c r="A37" s="7"/>
      <x:c r="B37" s="7"/>
      <x:c r="C37" s="17" t="str">
        <x:v>Cash-after-capex bridge residual</x:v>
      </x:c>
      <x:c r="D37" s="68" t="n">
        <x:f>D18-(D17-D14)</x:f>
        <x:v>0</x:v>
      </x:c>
      <x:c r="E37" s="6"/>
      <x:c r="F37" s="6"/>
      <x:c r="G37" s="6"/>
    </x:row>
    <x:row r="38">
      <x:c r="A38" s="7"/>
      <x:c r="B38" s="7"/>
      <x:c r="C38" s="17" t="str">
        <x:v>Dated draw-headroom residual</x:v>
      </x:c>
      <x:c r="D38" s="68" t="n">
        <x:f>D31-(D22-D29-D30)</x:f>
        <x:v>0</x:v>
      </x:c>
      <x:c r="E38" s="6"/>
      <x:c r="F38" s="6"/>
      <x:c r="G38" s="6"/>
    </x:row>
    <x:row r="39">
      <x:c r="A39" s="7"/>
      <x:c r="B39" s="7"/>
      <x:c r="C39" s="6"/>
      <x:c r="D39" s="6"/>
      <x:c r="E39" s="6"/>
      <x:c r="F39" s="6"/>
      <x:c r="G39" s="6"/>
    </x:row>
    <x:row r="40">
      <x:c r="A40" s="7"/>
      <x:c r="B40" s="7"/>
      <x:c r="C40" s="6"/>
      <x:c r="D40" s="6"/>
      <x:c r="E40" s="6"/>
      <x:c r="F40" s="6"/>
      <x:c r="G40" s="6"/>
    </x:row>
    <x:row r="41">
      <x:c r="A41" s="7"/>
      <x:c r="B41" s="7"/>
      <x:c r="C41" s="6"/>
      <x:c r="D41" s="6"/>
      <x:c r="E41" s="6"/>
      <x:c r="F41" s="6"/>
      <x:c r="G41" s="6"/>
    </x:row>
    <x:row r="42">
      <x:c r="A42" s="7"/>
      <x:c r="B42" s="7"/>
      <x:c r="C42" s="6"/>
      <x:c r="D42" s="6"/>
      <x:c r="E42" s="6"/>
      <x:c r="F42" s="6"/>
      <x:c r="G42" s="6"/>
    </x:row>
    <x:row r="43">
      <x:c r="A43" s="7"/>
      <x:c r="B43" s="7"/>
      <x:c r="C43" s="6"/>
      <x:c r="D43" s="6"/>
      <x:c r="E43" s="6"/>
      <x:c r="F43" s="6"/>
      <x:c r="G43" s="6"/>
    </x:row>
    <x:row r="44">
      <x:c r="A44" s="7"/>
      <x:c r="B44" s="7"/>
      <x:c r="C44" s="6"/>
      <x:c r="D44" s="6"/>
      <x:c r="E44" s="6"/>
      <x:c r="F44" s="6"/>
      <x:c r="G44" s="6"/>
    </x:row>
    <x:row r="45">
      <x:c r="A45" s="7"/>
      <x:c r="B45" s="7"/>
      <x:c r="C45" s="6"/>
      <x:c r="D45" s="6"/>
      <x:c r="E45" s="6"/>
      <x:c r="F45" s="6"/>
      <x:c r="G45" s="6"/>
    </x:row>
    <x:row r="46">
      <x:c r="A46" s="7"/>
      <x:c r="B46" s="7"/>
      <x:c r="C46" s="6"/>
      <x:c r="D46" s="6"/>
      <x:c r="E46" s="6"/>
      <x:c r="F46" s="6"/>
      <x:c r="G46" s="6"/>
    </x:row>
    <x:row r="47">
      <x:c r="A47" s="7"/>
      <x:c r="B47" s="7"/>
      <x:c r="C47" s="6"/>
      <x:c r="D47" s="6"/>
      <x:c r="E47" s="6"/>
      <x:c r="F47" s="6"/>
      <x:c r="G47" s="6"/>
    </x:row>
    <x:row r="48">
      <x:c r="A48" s="7"/>
      <x:c r="B48" s="7"/>
      <x:c r="C48" s="6"/>
      <x:c r="D48" s="6"/>
      <x:c r="E48" s="6"/>
      <x:c r="F48" s="6"/>
      <x:c r="G48" s="6"/>
    </x:row>
    <x:row r="49">
      <x:c r="A49" s="7"/>
      <x:c r="B49" s="7"/>
      <x:c r="C49" s="6"/>
      <x:c r="D49" s="6"/>
      <x:c r="E49" s="6"/>
      <x:c r="F49" s="6"/>
      <x:c r="G49" s="6"/>
    </x:row>
    <x:row r="50">
      <x:c r="A50" s="7"/>
      <x:c r="B50" s="7"/>
      <x:c r="C50" s="6"/>
      <x:c r="D50" s="6"/>
      <x:c r="E50" s="6"/>
      <x:c r="F50" s="6"/>
      <x:c r="G50" s="6"/>
    </x:row>
    <x:row r="51">
      <x:c r="A51" s="7"/>
      <x:c r="B51" s="7"/>
      <x:c r="C51" s="6"/>
      <x:c r="D51" s="6"/>
      <x:c r="E51" s="6"/>
      <x:c r="F51" s="6"/>
      <x:c r="G51" s="6"/>
    </x:row>
    <x:row r="52">
      <x:c r="A52" s="7"/>
      <x:c r="B52" s="7"/>
      <x:c r="C52" s="6"/>
      <x:c r="D52" s="6"/>
      <x:c r="E52" s="6"/>
      <x:c r="F52" s="6"/>
      <x:c r="G52" s="6"/>
    </x:row>
    <x:row r="53">
      <x:c r="A53" s="7"/>
      <x:c r="B53" s="7"/>
      <x:c r="C53" s="6"/>
      <x:c r="D53" s="6"/>
      <x:c r="E53" s="6"/>
      <x:c r="F53" s="6"/>
      <x:c r="G53" s="6"/>
    </x:row>
    <x:row r="54">
      <x:c r="A54" s="7"/>
      <x:c r="B54" s="7"/>
      <x:c r="C54" s="6"/>
      <x:c r="D54" s="6"/>
      <x:c r="E54" s="6"/>
      <x:c r="F54" s="6"/>
      <x:c r="G54" s="6"/>
    </x:row>
    <x:row r="55">
      <x:c r="A55" s="7"/>
      <x:c r="B55" s="7"/>
      <x:c r="C55" s="6"/>
      <x:c r="D55" s="6"/>
      <x:c r="E55" s="6"/>
      <x:c r="F55" s="6"/>
      <x:c r="G55" s="6"/>
    </x:row>
    <x:row r="56">
      <x:c r="A56" s="7"/>
      <x:c r="B56" s="7"/>
      <x:c r="C56" s="6"/>
      <x:c r="D56" s="6"/>
      <x:c r="E56" s="6"/>
      <x:c r="F56" s="6"/>
      <x:c r="G56" s="6"/>
    </x:row>
    <x:row r="57">
      <x:c r="A57" s="7"/>
      <x:c r="B57" s="7"/>
      <x:c r="C57" s="6"/>
      <x:c r="D57" s="6"/>
      <x:c r="E57" s="6"/>
      <x:c r="F57" s="6"/>
      <x:c r="G57" s="6"/>
    </x:row>
    <x:row r="58">
      <x:c r="A58" s="7"/>
      <x:c r="B58" s="7"/>
      <x:c r="C58" s="6"/>
      <x:c r="D58" s="6"/>
      <x:c r="E58" s="6"/>
      <x:c r="F58" s="6"/>
      <x:c r="G58" s="6"/>
    </x:row>
    <x:row r="59">
      <x:c r="A59" s="7"/>
      <x:c r="B59" s="7"/>
      <x:c r="C59" s="6"/>
      <x:c r="D59" s="6"/>
      <x:c r="E59" s="6"/>
      <x:c r="F59" s="6"/>
      <x:c r="G59" s="6"/>
    </x:row>
    <x:row r="60">
      <x:c r="A60" s="7"/>
      <x:c r="B60" s="7"/>
      <x:c r="C60" s="6"/>
      <x:c r="D60" s="6"/>
      <x:c r="E60" s="6"/>
      <x:c r="F60" s="6"/>
      <x:c r="G60" s="6"/>
    </x:row>
    <x:row r="61">
      <x:c r="A61" s="7"/>
      <x:c r="B61" s="7"/>
      <x:c r="C61" s="6"/>
      <x:c r="D61" s="6"/>
      <x:c r="E61" s="6"/>
      <x:c r="F61" s="6"/>
      <x:c r="G61" s="6"/>
    </x:row>
    <x:row r="62">
      <x:c r="A62" s="7"/>
      <x:c r="B62" s="7"/>
      <x:c r="C62" s="6"/>
      <x:c r="D62" s="6"/>
      <x:c r="E62" s="6"/>
      <x:c r="F62" s="6"/>
      <x:c r="G62" s="6"/>
    </x:row>
    <x:row r="63">
      <x:c r="A63" s="7"/>
      <x:c r="B63" s="7"/>
      <x:c r="C63" s="6"/>
      <x:c r="D63" s="6"/>
      <x:c r="E63" s="6"/>
      <x:c r="F63" s="6"/>
      <x:c r="G63" s="6"/>
    </x:row>
    <x:row r="64">
      <x:c r="A64" s="7"/>
      <x:c r="B64" s="7"/>
      <x:c r="C64" s="6"/>
      <x:c r="D64" s="6"/>
      <x:c r="E64" s="6"/>
      <x:c r="F64" s="6"/>
      <x:c r="G64" s="6"/>
    </x:row>
    <x:row r="65">
      <x:c r="A65" s="7"/>
      <x:c r="B65" s="7"/>
      <x:c r="C65" s="6"/>
      <x:c r="D65" s="6"/>
      <x:c r="E65" s="6"/>
      <x:c r="F65" s="6"/>
      <x:c r="G65" s="6"/>
    </x:row>
    <x:row r="66">
      <x:c r="A66" s="7"/>
      <x:c r="B66" s="7"/>
      <x:c r="C66" s="6"/>
      <x:c r="D66" s="6"/>
      <x:c r="E66" s="6"/>
      <x:c r="F66" s="6"/>
      <x:c r="G66" s="6"/>
    </x:row>
    <x:row r="67">
      <x:c r="A67" s="7"/>
      <x:c r="B67" s="7"/>
      <x:c r="C67" s="6"/>
      <x:c r="D67" s="6"/>
      <x:c r="E67" s="6"/>
      <x:c r="F67" s="6"/>
      <x:c r="G67" s="6"/>
    </x:row>
    <x:row r="68">
      <x:c r="A68" s="7"/>
      <x:c r="B68" s="7"/>
      <x:c r="C68" s="6"/>
      <x:c r="D68" s="6"/>
      <x:c r="E68" s="6"/>
      <x:c r="F68" s="6"/>
      <x:c r="G68" s="6"/>
    </x:row>
    <x:row r="69">
      <x:c r="A69" s="7"/>
      <x:c r="B69" s="7"/>
      <x:c r="C69" s="6"/>
      <x:c r="D69" s="6"/>
      <x:c r="E69" s="6"/>
      <x:c r="F69" s="6"/>
      <x:c r="G69" s="6"/>
    </x:row>
    <x:row r="70">
      <x:c r="A70" s="7"/>
      <x:c r="B70" s="7"/>
      <x:c r="C70" s="6"/>
      <x:c r="D70" s="6"/>
      <x:c r="E70" s="6"/>
      <x:c r="F70" s="6"/>
      <x:c r="G70" s="6"/>
    </x:row>
    <x:row r="71">
      <x:c r="A71" s="7"/>
      <x:c r="B71" s="7"/>
      <x:c r="C71" s="6"/>
      <x:c r="D71" s="6"/>
      <x:c r="E71" s="6"/>
      <x:c r="F71" s="6"/>
      <x:c r="G71" s="6"/>
    </x:row>
    <x:row r="72">
      <x:c r="A72" s="7"/>
      <x:c r="B72" s="7"/>
      <x:c r="C72" s="6"/>
      <x:c r="D72" s="6"/>
      <x:c r="E72" s="6"/>
      <x:c r="F72" s="6"/>
      <x:c r="G72" s="6"/>
    </x:row>
    <x:row r="73">
      <x:c r="A73" s="7"/>
      <x:c r="B73" s="7"/>
      <x:c r="C73" s="6"/>
      <x:c r="D73" s="6"/>
      <x:c r="E73" s="6"/>
      <x:c r="F73" s="6"/>
      <x:c r="G73" s="6"/>
    </x:row>
    <x:row r="74">
      <x:c r="A74" s="7"/>
      <x:c r="B74" s="7"/>
      <x:c r="C74" s="6"/>
      <x:c r="D74" s="6"/>
      <x:c r="E74" s="6"/>
      <x:c r="F74" s="6"/>
      <x:c r="G74" s="6"/>
    </x:row>
    <x:row r="75">
      <x:c r="A75" s="7"/>
      <x:c r="B75" s="7"/>
      <x:c r="C75" s="6"/>
      <x:c r="D75" s="6"/>
      <x:c r="E75" s="6"/>
      <x:c r="F75" s="6"/>
      <x:c r="G75" s="6"/>
    </x:row>
    <x:row r="76">
      <x:c r="A76" s="7"/>
      <x:c r="B76" s="7"/>
      <x:c r="C76" s="6"/>
      <x:c r="D76" s="6"/>
      <x:c r="E76" s="6"/>
      <x:c r="F76" s="6"/>
      <x:c r="G76" s="6"/>
    </x:row>
    <x:row r="77">
      <x:c r="A77" s="7"/>
      <x:c r="B77" s="7"/>
      <x:c r="C77" s="6"/>
      <x:c r="D77" s="6"/>
      <x:c r="E77" s="6"/>
      <x:c r="F77" s="6"/>
      <x:c r="G77" s="6"/>
    </x:row>
    <x:row r="78">
      <x:c r="A78" s="7"/>
      <x:c r="B78" s="7"/>
      <x:c r="C78" s="6"/>
      <x:c r="D78" s="6"/>
      <x:c r="E78" s="6"/>
      <x:c r="F78" s="6"/>
      <x:c r="G78" s="6"/>
    </x:row>
    <x:row r="79">
      <x:c r="A79" s="7"/>
      <x:c r="B79" s="7"/>
      <x:c r="C79" s="6"/>
      <x:c r="D79" s="6"/>
      <x:c r="E79" s="6"/>
      <x:c r="F79" s="6"/>
      <x:c r="G79" s="6"/>
    </x:row>
    <x:row r="80">
      <x:c r="A80" s="7"/>
      <x:c r="B80" s="7"/>
      <x:c r="C80" s="6"/>
      <x:c r="D80" s="6"/>
      <x:c r="E80" s="6"/>
      <x:c r="F80" s="6"/>
      <x:c r="G80" s="6"/>
    </x:row>
    <x:row r="81">
      <x:c r="A81" s="7"/>
      <x:c r="B81" s="7"/>
      <x:c r="C81" s="6"/>
      <x:c r="D81" s="6"/>
      <x:c r="E81" s="6"/>
      <x:c r="F81" s="6"/>
      <x:c r="G81" s="6"/>
    </x:row>
    <x:row r="82">
      <x:c r="A82" s="7"/>
      <x:c r="B82" s="7"/>
      <x:c r="C82" s="6"/>
      <x:c r="D82" s="6"/>
      <x:c r="E82" s="6"/>
      <x:c r="F82" s="6"/>
      <x:c r="G82" s="6"/>
    </x:row>
    <x:row r="83">
      <x:c r="A83" s="7"/>
      <x:c r="B83" s="7"/>
      <x:c r="C83" s="6"/>
      <x:c r="D83" s="6"/>
      <x:c r="E83" s="6"/>
      <x:c r="F83" s="6"/>
      <x:c r="G83" s="6"/>
    </x:row>
    <x:row r="84">
      <x:c r="A84" s="7"/>
      <x:c r="B84" s="7"/>
      <x:c r="C84" s="6"/>
      <x:c r="D84" s="6"/>
      <x:c r="E84" s="6"/>
      <x:c r="F84" s="6"/>
      <x:c r="G84" s="6"/>
    </x:row>
    <x:row r="85">
      <x:c r="A85" s="7"/>
      <x:c r="B85" s="7"/>
      <x:c r="C85" s="6"/>
      <x:c r="D85" s="6"/>
      <x:c r="E85" s="6"/>
      <x:c r="F85" s="6"/>
      <x:c r="G85" s="6"/>
    </x:row>
    <x:row r="86">
      <x:c r="A86" s="7"/>
      <x:c r="B86" s="7"/>
      <x:c r="C86" s="6"/>
      <x:c r="D86" s="6"/>
      <x:c r="E86" s="6"/>
      <x:c r="F86" s="6"/>
      <x:c r="G86" s="6"/>
    </x:row>
    <x:row r="87">
      <x:c r="A87" s="7"/>
      <x:c r="B87" s="7"/>
      <x:c r="C87" s="6"/>
      <x:c r="D87" s="6"/>
      <x:c r="E87" s="6"/>
      <x:c r="F87" s="6"/>
      <x:c r="G87" s="6"/>
    </x:row>
    <x:row r="88">
      <x:c r="A88" s="7"/>
      <x:c r="B88" s="7"/>
      <x:c r="C88" s="6"/>
      <x:c r="D88" s="6"/>
      <x:c r="E88" s="6"/>
      <x:c r="F88" s="6"/>
      <x:c r="G88" s="6"/>
    </x:row>
    <x:row r="89">
      <x:c r="A89" s="7"/>
      <x:c r="B89" s="7"/>
      <x:c r="C89" s="6"/>
      <x:c r="D89" s="6"/>
      <x:c r="E89" s="6"/>
      <x:c r="F89" s="6"/>
      <x:c r="G89" s="6"/>
    </x:row>
    <x:row r="90">
      <x:c r="A90" s="7"/>
      <x:c r="B90" s="7"/>
      <x:c r="C90" s="6"/>
      <x:c r="D90" s="6"/>
      <x:c r="E90" s="6"/>
      <x:c r="F90" s="6"/>
      <x:c r="G90" s="6"/>
    </x:row>
    <x:row r="91">
      <x:c r="A91" s="7"/>
      <x:c r="B91" s="7"/>
      <x:c r="C91" s="6"/>
      <x:c r="D91" s="6"/>
      <x:c r="E91" s="6"/>
      <x:c r="F91" s="6"/>
      <x:c r="G91" s="6"/>
    </x:row>
    <x:row r="92">
      <x:c r="A92" s="7"/>
      <x:c r="B92" s="7"/>
      <x:c r="C92" s="6"/>
      <x:c r="D92" s="6"/>
      <x:c r="E92" s="6"/>
      <x:c r="F92" s="6"/>
      <x:c r="G92" s="6"/>
    </x:row>
    <x:row r="93">
      <x:c r="A93" s="7"/>
      <x:c r="B93" s="7"/>
      <x:c r="C93" s="6"/>
      <x:c r="D93" s="6"/>
      <x:c r="E93" s="6"/>
      <x:c r="F93" s="6"/>
      <x:c r="G93" s="6"/>
    </x:row>
    <x:row r="94">
      <x:c r="A94" s="7"/>
      <x:c r="B94" s="7"/>
      <x:c r="C94" s="6"/>
      <x:c r="D94" s="6"/>
      <x:c r="E94" s="6"/>
      <x:c r="F94" s="6"/>
      <x:c r="G94" s="6"/>
    </x:row>
    <x:row r="95">
      <x:c r="A95" s="7"/>
      <x:c r="B95" s="7"/>
      <x:c r="C95" s="6"/>
      <x:c r="D95" s="6"/>
      <x:c r="E95" s="6"/>
      <x:c r="F95" s="6"/>
      <x:c r="G95" s="6"/>
    </x:row>
    <x:row r="96">
      <x:c r="A96" s="7"/>
      <x:c r="B96" s="7"/>
      <x:c r="C96" s="6"/>
      <x:c r="D96" s="6"/>
      <x:c r="E96" s="6"/>
      <x:c r="F96" s="6"/>
      <x:c r="G96" s="6"/>
    </x:row>
    <x:row r="97">
      <x:c r="A97" s="7"/>
      <x:c r="B97" s="7"/>
      <x:c r="C97" s="6"/>
      <x:c r="D97" s="6"/>
      <x:c r="E97" s="6"/>
      <x:c r="F97" s="6"/>
      <x:c r="G97" s="6"/>
    </x:row>
    <x:row r="98">
      <x:c r="A98" s="7"/>
      <x:c r="B98" s="7"/>
      <x:c r="C98" s="6"/>
      <x:c r="D98" s="6"/>
      <x:c r="E98" s="6"/>
      <x:c r="F98" s="6"/>
      <x:c r="G98" s="6"/>
    </x:row>
    <x:row r="99">
      <x:c r="A99" s="7"/>
      <x:c r="B99" s="7"/>
      <x:c r="C99" s="6"/>
      <x:c r="D99" s="6"/>
      <x:c r="E99" s="6"/>
      <x:c r="F99" s="6"/>
      <x:c r="G99" s="6"/>
    </x:row>
    <x:row r="100">
      <x:c r="A100" s="7"/>
      <x:c r="B100" s="7"/>
      <x:c r="C100" s="6"/>
      <x:c r="D100" s="6"/>
      <x:c r="E100" s="6"/>
      <x:c r="F100" s="6"/>
      <x:c r="G100" s="6"/>
    </x:row>
    <x:row r="101">
      <x:c r="A101" s="7"/>
      <x:c r="B101" s="7"/>
      <x:c r="C101" s="6"/>
      <x:c r="D101" s="6"/>
      <x:c r="E101" s="6"/>
      <x:c r="F101" s="6"/>
      <x:c r="G101" s="6"/>
    </x:row>
    <x:row r="102">
      <x:c r="A102" s="7"/>
      <x:c r="B102" s="7"/>
      <x:c r="C102" s="6"/>
      <x:c r="D102" s="6"/>
      <x:c r="E102" s="6"/>
      <x:c r="F102" s="6"/>
      <x:c r="G102" s="6"/>
    </x:row>
    <x:row r="103">
      <x:c r="A103" s="7"/>
      <x:c r="B103" s="7"/>
      <x:c r="C103" s="6"/>
      <x:c r="D103" s="6"/>
      <x:c r="E103" s="6"/>
      <x:c r="F103" s="6"/>
      <x:c r="G103" s="6"/>
    </x:row>
    <x:row r="104">
      <x:c r="A104" s="7"/>
      <x:c r="B104" s="7"/>
      <x:c r="C104" s="6"/>
      <x:c r="D104" s="6"/>
      <x:c r="E104" s="6"/>
      <x:c r="F104" s="6"/>
      <x:c r="G104" s="6"/>
    </x:row>
    <x:row r="105">
      <x:c r="A105" s="7"/>
      <x:c r="B105" s="7"/>
      <x:c r="C105" s="6"/>
      <x:c r="D105" s="6"/>
      <x:c r="E105" s="6"/>
      <x:c r="F105" s="6"/>
      <x:c r="G105" s="6"/>
    </x:row>
    <x:row r="106">
      <x:c r="A106" s="7"/>
      <x:c r="B106" s="7"/>
      <x:c r="C106" s="6"/>
      <x:c r="D106" s="6"/>
      <x:c r="E106" s="6"/>
      <x:c r="F106" s="6"/>
      <x:c r="G106" s="6"/>
    </x:row>
    <x:row r="107">
      <x:c r="A107" s="7"/>
      <x:c r="B107" s="7"/>
      <x:c r="C107" s="6"/>
      <x:c r="D107" s="6"/>
      <x:c r="E107" s="6"/>
      <x:c r="F107" s="6"/>
      <x:c r="G107" s="6"/>
    </x:row>
    <x:row r="108">
      <x:c r="A108" s="7"/>
      <x:c r="B108" s="7"/>
      <x:c r="C108" s="6"/>
      <x:c r="D108" s="6"/>
      <x:c r="E108" s="6"/>
      <x:c r="F108" s="6"/>
      <x:c r="G108" s="6"/>
    </x:row>
    <x:row r="109">
      <x:c r="A109" s="7"/>
      <x:c r="B109" s="7"/>
      <x:c r="C109" s="6"/>
      <x:c r="D109" s="6"/>
      <x:c r="E109" s="6"/>
      <x:c r="F109" s="6"/>
      <x:c r="G109" s="6"/>
    </x:row>
    <x:row r="110">
      <x:c r="A110" s="7"/>
      <x:c r="B110" s="7"/>
      <x:c r="C110" s="6"/>
      <x:c r="D110" s="6"/>
      <x:c r="E110" s="6"/>
      <x:c r="F110" s="6"/>
      <x:c r="G110" s="6"/>
    </x:row>
    <x:row r="111">
      <x:c r="A111" s="7"/>
      <x:c r="B111" s="7"/>
      <x:c r="C111" s="6"/>
      <x:c r="D111" s="6"/>
      <x:c r="E111" s="6"/>
      <x:c r="F111" s="6"/>
      <x:c r="G111" s="6"/>
    </x:row>
    <x:row r="112">
      <x:c r="A112" s="7"/>
      <x:c r="B112" s="7"/>
      <x:c r="C112" s="6"/>
      <x:c r="D112" s="6"/>
      <x:c r="E112" s="6"/>
      <x:c r="F112" s="6"/>
      <x:c r="G112" s="6"/>
    </x:row>
    <x:row r="113">
      <x:c r="A113" s="7"/>
      <x:c r="B113" s="7"/>
      <x:c r="C113" s="6"/>
      <x:c r="D113" s="6"/>
      <x:c r="E113" s="6"/>
      <x:c r="F113" s="6"/>
      <x:c r="G113" s="6"/>
    </x:row>
    <x:row r="114">
      <x:c r="A114" s="7"/>
      <x:c r="B114" s="7"/>
      <x:c r="C114" s="6"/>
      <x:c r="D114" s="6"/>
      <x:c r="E114" s="6"/>
      <x:c r="F114" s="6"/>
      <x:c r="G114" s="6"/>
    </x:row>
    <x:row r="115">
      <x:c r="A115" s="7"/>
      <x:c r="B115" s="7"/>
      <x:c r="C115" s="6"/>
      <x:c r="D115" s="6"/>
      <x:c r="E115" s="6"/>
      <x:c r="F115" s="6"/>
      <x:c r="G115" s="6"/>
    </x:row>
    <x:row r="116">
      <x:c r="A116" s="7"/>
      <x:c r="B116" s="7"/>
      <x:c r="C116" s="6"/>
      <x:c r="D116" s="6"/>
      <x:c r="E116" s="6"/>
      <x:c r="F116" s="6"/>
      <x:c r="G116" s="6"/>
    </x:row>
    <x:row r="117">
      <x:c r="A117" s="7"/>
      <x:c r="B117" s="7"/>
      <x:c r="C117" s="6"/>
      <x:c r="D117" s="6"/>
      <x:c r="E117" s="6"/>
      <x:c r="F117" s="6"/>
      <x:c r="G117" s="6"/>
    </x:row>
    <x:row r="118">
      <x:c r="A118" s="7"/>
      <x:c r="B118" s="7"/>
      <x:c r="C118" s="6"/>
      <x:c r="D118" s="6"/>
      <x:c r="E118" s="6"/>
      <x:c r="F118" s="6"/>
      <x:c r="G118" s="6"/>
    </x:row>
    <x:row r="119">
      <x:c r="A119" s="7"/>
      <x:c r="B119" s="7"/>
      <x:c r="C119" s="6"/>
      <x:c r="D119" s="6"/>
      <x:c r="E119" s="6"/>
      <x:c r="F119" s="6"/>
      <x:c r="G119" s="6"/>
    </x:row>
    <x:row r="120">
      <x:c r="A120" s="7"/>
      <x:c r="B120" s="7"/>
      <x:c r="C120" s="6"/>
      <x:c r="D120" s="6"/>
      <x:c r="E120" s="6"/>
      <x:c r="F120" s="6"/>
      <x:c r="G120" s="6"/>
    </x:row>
    <x:row r="121">
      <x:c r="A121" s="7"/>
      <x:c r="B121" s="7"/>
      <x:c r="C121" s="6"/>
      <x:c r="D121" s="6"/>
      <x:c r="E121" s="6"/>
      <x:c r="F121" s="6"/>
      <x:c r="G121" s="6"/>
    </x:row>
    <x:row r="122">
      <x:c r="A122" s="7"/>
      <x:c r="B122" s="7"/>
      <x:c r="C122" s="6"/>
      <x:c r="D122" s="6"/>
      <x:c r="E122" s="6"/>
      <x:c r="F122" s="6"/>
      <x:c r="G122" s="6"/>
    </x:row>
    <x:row r="123">
      <x:c r="A123" s="7"/>
      <x:c r="B123" s="7"/>
      <x:c r="C123" s="6"/>
      <x:c r="D123" s="6"/>
      <x:c r="E123" s="6"/>
      <x:c r="F123" s="6"/>
      <x:c r="G123" s="6"/>
    </x:row>
    <x:row r="124">
      <x:c r="A124" s="7"/>
      <x:c r="B124" s="7"/>
      <x:c r="C124" s="6"/>
      <x:c r="D124" s="6"/>
      <x:c r="E124" s="6"/>
      <x:c r="F124" s="6"/>
      <x:c r="G124" s="6"/>
    </x:row>
    <x:row r="125">
      <x:c r="A125" s="7"/>
      <x:c r="B125" s="7"/>
      <x:c r="C125" s="6"/>
      <x:c r="D125" s="6"/>
      <x:c r="E125" s="6"/>
      <x:c r="F125" s="6"/>
      <x:c r="G125" s="6"/>
    </x:row>
    <x:row r="126">
      <x:c r="A126" s="7"/>
      <x:c r="B126" s="7"/>
      <x:c r="C126" s="6"/>
      <x:c r="D126" s="6"/>
      <x:c r="E126" s="6"/>
      <x:c r="F126" s="6"/>
      <x:c r="G126" s="6"/>
    </x:row>
    <x:row r="127">
      <x:c r="A127" s="7"/>
      <x:c r="B127" s="7"/>
      <x:c r="C127" s="6"/>
      <x:c r="D127" s="6"/>
      <x:c r="E127" s="6"/>
      <x:c r="F127" s="6"/>
      <x:c r="G127" s="6"/>
    </x:row>
    <x:row r="128">
      <x:c r="A128" s="7"/>
      <x:c r="B128" s="7"/>
      <x:c r="C128" s="6"/>
      <x:c r="D128" s="6"/>
      <x:c r="E128" s="6"/>
      <x:c r="F128" s="6"/>
      <x:c r="G128" s="6"/>
    </x:row>
    <x:row r="129">
      <x:c r="A129" s="7"/>
      <x:c r="B129" s="7"/>
      <x:c r="C129" s="6"/>
      <x:c r="D129" s="6"/>
      <x:c r="E129" s="6"/>
      <x:c r="F129" s="6"/>
      <x:c r="G129" s="6"/>
    </x:row>
    <x:row r="130">
      <x:c r="A130" s="7"/>
      <x:c r="B130" s="7"/>
      <x:c r="C130" s="6"/>
      <x:c r="D130" s="6"/>
      <x:c r="E130" s="6"/>
      <x:c r="F130" s="6"/>
      <x:c r="G130" s="6"/>
    </x:row>
    <x:row r="131">
      <x:c r="A131" s="7"/>
      <x:c r="B131" s="7"/>
      <x:c r="C131" s="6"/>
      <x:c r="D131" s="6"/>
      <x:c r="E131" s="6"/>
      <x:c r="F131" s="6"/>
      <x:c r="G131" s="6"/>
    </x:row>
    <x:row r="132">
      <x:c r="A132" s="7"/>
      <x:c r="B132" s="7"/>
      <x:c r="C132" s="6"/>
      <x:c r="D132" s="6"/>
      <x:c r="E132" s="6"/>
      <x:c r="F132" s="6"/>
      <x:c r="G132" s="6"/>
    </x:row>
    <x:row r="133">
      <x:c r="A133" s="7"/>
      <x:c r="B133" s="7"/>
      <x:c r="C133" s="6"/>
      <x:c r="D133" s="6"/>
      <x:c r="E133" s="6"/>
      <x:c r="F133" s="6"/>
      <x:c r="G133" s="6"/>
    </x:row>
    <x:row r="134">
      <x:c r="A134" s="7"/>
      <x:c r="B134" s="7"/>
      <x:c r="C134" s="6"/>
      <x:c r="D134" s="6"/>
      <x:c r="E134" s="6"/>
      <x:c r="F134" s="6"/>
      <x:c r="G134" s="6"/>
    </x:row>
    <x:row r="135">
      <x:c r="A135" s="7"/>
      <x:c r="B135" s="7"/>
      <x:c r="C135" s="6"/>
      <x:c r="D135" s="6"/>
      <x:c r="E135" s="6"/>
      <x:c r="F135" s="6"/>
      <x:c r="G135" s="6"/>
    </x:row>
    <x:row r="136">
      <x:c r="A136" s="7"/>
      <x:c r="B136" s="7"/>
      <x:c r="C136" s="6"/>
      <x:c r="D136" s="6"/>
      <x:c r="E136" s="6"/>
      <x:c r="F136" s="6"/>
      <x:c r="G136" s="6"/>
    </x:row>
    <x:row r="137">
      <x:c r="A137" s="7"/>
      <x:c r="B137" s="7"/>
      <x:c r="C137" s="6"/>
      <x:c r="D137" s="6"/>
      <x:c r="E137" s="6"/>
      <x:c r="F137" s="6"/>
      <x:c r="G137" s="6"/>
    </x:row>
    <x:row r="138">
      <x:c r="A138" s="7"/>
      <x:c r="B138" s="7"/>
      <x:c r="C138" s="6"/>
      <x:c r="D138" s="6"/>
      <x:c r="E138" s="6"/>
      <x:c r="F138" s="6"/>
      <x:c r="G138" s="6"/>
    </x:row>
    <x:row r="139">
      <x:c r="A139" s="7"/>
      <x:c r="B139" s="7"/>
      <x:c r="C139" s="6"/>
      <x:c r="D139" s="6"/>
      <x:c r="E139" s="6"/>
      <x:c r="F139" s="6"/>
      <x:c r="G139" s="6"/>
    </x:row>
    <x:row r="140">
      <x:c r="A140" s="7"/>
      <x:c r="B140" s="7"/>
      <x:c r="C140" s="6"/>
      <x:c r="D140" s="6"/>
      <x:c r="E140" s="6"/>
      <x:c r="F140" s="6"/>
      <x:c r="G140" s="6"/>
    </x:row>
    <x:row r="141">
      <x:c r="A141" s="7"/>
      <x:c r="B141" s="7"/>
      <x:c r="C141" s="6"/>
      <x:c r="D141" s="6"/>
      <x:c r="E141" s="6"/>
      <x:c r="F141" s="6"/>
      <x:c r="G141" s="6"/>
    </x:row>
    <x:row r="142">
      <x:c r="A142" s="7"/>
      <x:c r="B142" s="7"/>
      <x:c r="C142" s="6"/>
      <x:c r="D142" s="6"/>
      <x:c r="E142" s="6"/>
      <x:c r="F142" s="6"/>
      <x:c r="G142" s="6"/>
    </x:row>
    <x:row r="143">
      <x:c r="A143" s="7"/>
      <x:c r="B143" s="7"/>
      <x:c r="C143" s="6"/>
      <x:c r="D143" s="6"/>
      <x:c r="E143" s="6"/>
      <x:c r="F143" s="6"/>
      <x:c r="G143" s="6"/>
    </x:row>
    <x:row r="144">
      <x:c r="A144" s="7"/>
      <x:c r="B144" s="7"/>
      <x:c r="C144" s="6"/>
      <x:c r="D144" s="6"/>
      <x:c r="E144" s="6"/>
      <x:c r="F144" s="6"/>
      <x:c r="G144" s="6"/>
    </x:row>
    <x:row r="145">
      <x:c r="A145" s="7"/>
      <x:c r="B145" s="7"/>
      <x:c r="C145" s="6"/>
      <x:c r="D145" s="6"/>
      <x:c r="E145" s="6"/>
      <x:c r="F145" s="6"/>
      <x:c r="G145" s="6"/>
    </x:row>
    <x:row r="146">
      <x:c r="A146" s="7"/>
      <x:c r="B146" s="7"/>
      <x:c r="C146" s="6"/>
      <x:c r="D146" s="6"/>
      <x:c r="E146" s="6"/>
      <x:c r="F146" s="6"/>
      <x:c r="G146" s="6"/>
    </x:row>
    <x:row r="147">
      <x:c r="A147" s="7"/>
      <x:c r="B147" s="7"/>
      <x:c r="C147" s="6"/>
      <x:c r="D147" s="6"/>
      <x:c r="E147" s="6"/>
      <x:c r="F147" s="6"/>
      <x:c r="G147" s="6"/>
    </x:row>
    <x:row r="148">
      <x:c r="A148" s="7"/>
      <x:c r="B148" s="7"/>
      <x:c r="C148" s="6"/>
      <x:c r="D148" s="6"/>
      <x:c r="E148" s="6"/>
      <x:c r="F148" s="6"/>
      <x:c r="G148" s="6"/>
    </x:row>
    <x:row r="149">
      <x:c r="A149" s="7"/>
      <x:c r="B149" s="7"/>
      <x:c r="C149" s="6"/>
      <x:c r="D149" s="6"/>
      <x:c r="E149" s="6"/>
      <x:c r="F149" s="6"/>
      <x:c r="G149" s="6"/>
    </x:row>
    <x:row r="150">
      <x:c r="A150" s="7"/>
      <x:c r="B150" s="7"/>
      <x:c r="C150" s="6"/>
      <x:c r="D150" s="6"/>
      <x:c r="E150" s="6"/>
      <x:c r="F150" s="6"/>
      <x:c r="G150" s="6"/>
    </x:row>
    <x:row r="151">
      <x:c r="A151" s="7"/>
      <x:c r="B151" s="7"/>
      <x:c r="C151" s="6"/>
      <x:c r="D151" s="6"/>
      <x:c r="E151" s="6"/>
      <x:c r="F151" s="6"/>
      <x:c r="G151" s="6"/>
    </x:row>
    <x:row r="152">
      <x:c r="A152" s="7"/>
      <x:c r="B152" s="7"/>
      <x:c r="C152" s="6"/>
      <x:c r="D152" s="6"/>
      <x:c r="E152" s="6"/>
      <x:c r="F152" s="6"/>
      <x:c r="G152" s="6"/>
    </x:row>
    <x:row r="153">
      <x:c r="A153" s="7"/>
      <x:c r="B153" s="7"/>
      <x:c r="C153" s="6"/>
      <x:c r="D153" s="6"/>
      <x:c r="E153" s="6"/>
      <x:c r="F153" s="6"/>
      <x:c r="G153" s="6"/>
    </x:row>
    <x:row r="154">
      <x:c r="A154" s="7"/>
      <x:c r="B154" s="7"/>
      <x:c r="C154" s="6"/>
      <x:c r="D154" s="6"/>
      <x:c r="E154" s="6"/>
      <x:c r="F154" s="6"/>
      <x:c r="G154" s="6"/>
    </x:row>
    <x:row r="155">
      <x:c r="A155" s="7"/>
      <x:c r="B155" s="7"/>
      <x:c r="C155" s="6"/>
      <x:c r="D155" s="6"/>
      <x:c r="E155" s="6"/>
      <x:c r="F155" s="6"/>
      <x:c r="G155" s="6"/>
    </x:row>
    <x:row r="156">
      <x:c r="A156" s="7"/>
      <x:c r="B156" s="7"/>
      <x:c r="C156" s="6"/>
      <x:c r="D156" s="6"/>
      <x:c r="E156" s="6"/>
      <x:c r="F156" s="6"/>
      <x:c r="G156" s="6"/>
    </x:row>
    <x:row r="157">
      <x:c r="A157" s="7"/>
      <x:c r="B157" s="7"/>
      <x:c r="C157" s="6"/>
      <x:c r="D157" s="6"/>
      <x:c r="E157" s="6"/>
      <x:c r="F157" s="6"/>
      <x:c r="G157" s="6"/>
    </x:row>
    <x:row r="158">
      <x:c r="A158" s="7"/>
      <x:c r="B158" s="7"/>
      <x:c r="C158" s="6"/>
      <x:c r="D158" s="6"/>
      <x:c r="E158" s="6"/>
      <x:c r="F158" s="6"/>
      <x:c r="G158" s="6"/>
    </x:row>
    <x:row r="159">
      <x:c r="A159" s="7"/>
      <x:c r="B159" s="7"/>
      <x:c r="C159" s="6"/>
      <x:c r="D159" s="6"/>
      <x:c r="E159" s="6"/>
      <x:c r="F159" s="6"/>
      <x:c r="G159" s="6"/>
    </x:row>
    <x:row r="160">
      <x:c r="A160" s="7"/>
      <x:c r="B160" s="7"/>
      <x:c r="C160" s="6"/>
      <x:c r="D160" s="6"/>
      <x:c r="E160" s="6"/>
      <x:c r="F160" s="6"/>
      <x:c r="G160" s="6"/>
    </x:row>
    <x:row r="161">
      <x:c r="A161" s="7"/>
      <x:c r="B161" s="7"/>
      <x:c r="C161" s="6"/>
      <x:c r="D161" s="6"/>
      <x:c r="E161" s="6"/>
      <x:c r="F161" s="6"/>
      <x:c r="G161" s="6"/>
    </x:row>
    <x:row r="162">
      <x:c r="A162" s="7"/>
      <x:c r="B162" s="7"/>
      <x:c r="C162" s="6"/>
      <x:c r="D162" s="6"/>
      <x:c r="E162" s="6"/>
      <x:c r="F162" s="6"/>
      <x:c r="G162" s="6"/>
    </x:row>
    <x:row r="163">
      <x:c r="A163" s="7"/>
      <x:c r="B163" s="7"/>
      <x:c r="C163" s="6"/>
      <x:c r="D163" s="6"/>
      <x:c r="E163" s="6"/>
      <x:c r="F163" s="6"/>
      <x:c r="G163" s="6"/>
    </x:row>
    <x:row r="164">
      <x:c r="A164" s="7"/>
      <x:c r="B164" s="7"/>
      <x:c r="C164" s="6"/>
      <x:c r="D164" s="6"/>
      <x:c r="E164" s="6"/>
      <x:c r="F164" s="6"/>
      <x:c r="G164" s="6"/>
    </x:row>
    <x:row r="165">
      <x:c r="A165" s="7"/>
      <x:c r="B165" s="7"/>
      <x:c r="C165" s="6"/>
      <x:c r="D165" s="6"/>
      <x:c r="E165" s="6"/>
      <x:c r="F165" s="6"/>
      <x:c r="G165" s="6"/>
    </x:row>
    <x:row r="166">
      <x:c r="A166" s="7"/>
      <x:c r="B166" s="7"/>
      <x:c r="C166" s="6"/>
      <x:c r="D166" s="6"/>
      <x:c r="E166" s="6"/>
      <x:c r="F166" s="6"/>
      <x:c r="G166" s="6"/>
    </x:row>
    <x:row r="167">
      <x:c r="A167" s="7"/>
      <x:c r="B167" s="7"/>
      <x:c r="C167" s="6"/>
      <x:c r="D167" s="6"/>
      <x:c r="E167" s="6"/>
      <x:c r="F167" s="6"/>
      <x:c r="G167" s="6"/>
    </x:row>
    <x:row r="168">
      <x:c r="A168" s="7"/>
      <x:c r="B168" s="7"/>
      <x:c r="C168" s="6"/>
      <x:c r="D168" s="6"/>
      <x:c r="E168" s="6"/>
      <x:c r="F168" s="6"/>
      <x:c r="G168" s="6"/>
    </x:row>
    <x:row r="169">
      <x:c r="A169" s="7"/>
      <x:c r="B169" s="7"/>
      <x:c r="C169" s="6"/>
      <x:c r="D169" s="6"/>
      <x:c r="E169" s="6"/>
      <x:c r="F169" s="6"/>
      <x:c r="G169" s="6"/>
    </x:row>
    <x:row r="170">
      <x:c r="A170" s="7"/>
      <x:c r="B170" s="7"/>
      <x:c r="C170" s="6"/>
      <x:c r="D170" s="6"/>
      <x:c r="E170" s="6"/>
      <x:c r="F170" s="6"/>
      <x:c r="G170" s="6"/>
    </x:row>
    <x:row r="171">
      <x:c r="A171" s="7"/>
      <x:c r="B171" s="7"/>
      <x:c r="C171" s="6"/>
      <x:c r="D171" s="6"/>
      <x:c r="E171" s="6"/>
      <x:c r="F171" s="6"/>
      <x:c r="G171" s="6"/>
    </x:row>
    <x:row r="172">
      <x:c r="A172" s="7"/>
      <x:c r="B172" s="7"/>
      <x:c r="C172" s="6"/>
      <x:c r="D172" s="6"/>
      <x:c r="E172" s="6"/>
      <x:c r="F172" s="6"/>
      <x:c r="G172" s="6"/>
    </x:row>
    <x:row r="173">
      <x:c r="A173" s="7"/>
      <x:c r="B173" s="7"/>
      <x:c r="C173" s="6"/>
      <x:c r="D173" s="6"/>
      <x:c r="E173" s="6"/>
      <x:c r="F173" s="6"/>
      <x:c r="G173" s="6"/>
    </x:row>
    <x:row r="174">
      <x:c r="A174" s="7"/>
      <x:c r="B174" s="7"/>
      <x:c r="C174" s="6"/>
      <x:c r="D174" s="6"/>
      <x:c r="E174" s="6"/>
      <x:c r="F174" s="6"/>
      <x:c r="G174" s="6"/>
    </x:row>
    <x:row r="175">
      <x:c r="A175" s="7"/>
      <x:c r="B175" s="7"/>
      <x:c r="C175" s="6"/>
      <x:c r="D175" s="6"/>
      <x:c r="E175" s="6"/>
      <x:c r="F175" s="6"/>
      <x:c r="G175" s="6"/>
    </x:row>
    <x:row r="176">
      <x:c r="A176" s="7"/>
      <x:c r="B176" s="7"/>
      <x:c r="C176" s="6"/>
      <x:c r="D176" s="6"/>
      <x:c r="E176" s="6"/>
      <x:c r="F176" s="6"/>
      <x:c r="G176" s="6"/>
    </x:row>
    <x:row r="177">
      <x:c r="A177" s="7"/>
      <x:c r="B177" s="7"/>
      <x:c r="C177" s="6"/>
      <x:c r="D177" s="6"/>
      <x:c r="E177" s="6"/>
      <x:c r="F177" s="6"/>
      <x:c r="G177" s="6"/>
    </x:row>
    <x:row r="178">
      <x:c r="A178" s="7"/>
      <x:c r="B178" s="7"/>
      <x:c r="C178" s="6"/>
      <x:c r="D178" s="6"/>
      <x:c r="E178" s="6"/>
      <x:c r="F178" s="6"/>
      <x:c r="G178" s="6"/>
    </x:row>
    <x:row r="179">
      <x:c r="A179" s="7"/>
      <x:c r="B179" s="7"/>
      <x:c r="C179" s="6"/>
      <x:c r="D179" s="6"/>
      <x:c r="E179" s="6"/>
      <x:c r="F179" s="6"/>
      <x:c r="G179" s="6"/>
    </x:row>
    <x:row r="180">
      <x:c r="A180" s="7"/>
      <x:c r="B180" s="7"/>
      <x:c r="C180" s="6"/>
      <x:c r="D180" s="6"/>
      <x:c r="E180" s="6"/>
      <x:c r="F180" s="6"/>
      <x:c r="G180" s="6"/>
    </x:row>
    <x:row r="181">
      <x:c r="A181" s="7"/>
      <x:c r="B181" s="7"/>
      <x:c r="C181" s="6"/>
      <x:c r="D181" s="6"/>
      <x:c r="E181" s="6"/>
      <x:c r="F181" s="6"/>
      <x:c r="G181" s="6"/>
    </x:row>
    <x:row r="182">
      <x:c r="A182" s="7"/>
      <x:c r="B182" s="7"/>
      <x:c r="C182" s="6"/>
      <x:c r="D182" s="6"/>
      <x:c r="E182" s="6"/>
      <x:c r="F182" s="6"/>
      <x:c r="G182" s="6"/>
    </x:row>
    <x:row r="183">
      <x:c r="A183" s="7"/>
      <x:c r="B183" s="7"/>
      <x:c r="C183" s="6"/>
      <x:c r="D183" s="6"/>
      <x:c r="E183" s="6"/>
      <x:c r="F183" s="6"/>
      <x:c r="G183" s="6"/>
    </x:row>
    <x:row r="184">
      <x:c r="A184" s="7"/>
      <x:c r="B184" s="7"/>
      <x:c r="C184" s="6"/>
      <x:c r="D184" s="6"/>
      <x:c r="E184" s="6"/>
      <x:c r="F184" s="6"/>
      <x:c r="G184" s="6"/>
    </x:row>
    <x:row r="185">
      <x:c r="A185" s="7"/>
      <x:c r="B185" s="7"/>
      <x:c r="C185" s="6"/>
      <x:c r="D185" s="6"/>
      <x:c r="E185" s="6"/>
      <x:c r="F185" s="6"/>
      <x:c r="G185" s="6"/>
    </x:row>
    <x:row r="186">
      <x:c r="A186" s="7"/>
      <x:c r="B186" s="7"/>
      <x:c r="C186" s="6"/>
      <x:c r="D186" s="6"/>
      <x:c r="E186" s="6"/>
      <x:c r="F186" s="6"/>
      <x:c r="G186" s="6"/>
    </x:row>
    <x:row r="187">
      <x:c r="A187" s="7"/>
      <x:c r="B187" s="7"/>
      <x:c r="C187" s="6"/>
      <x:c r="D187" s="6"/>
      <x:c r="E187" s="6"/>
      <x:c r="F187" s="6"/>
      <x:c r="G187" s="6"/>
    </x:row>
    <x:row r="188">
      <x:c r="A188" s="7"/>
      <x:c r="B188" s="7"/>
      <x:c r="C188" s="6"/>
      <x:c r="D188" s="6"/>
      <x:c r="E188" s="6"/>
      <x:c r="F188" s="6"/>
      <x:c r="G188" s="6"/>
    </x:row>
    <x:row r="189">
      <x:c r="A189" s="7"/>
      <x:c r="B189" s="7"/>
      <x:c r="C189" s="6"/>
      <x:c r="D189" s="6"/>
      <x:c r="E189" s="6"/>
      <x:c r="F189" s="6"/>
      <x:c r="G189" s="6"/>
    </x:row>
    <x:row r="190">
      <x:c r="A190" s="7"/>
      <x:c r="B190" s="7"/>
      <x:c r="C190" s="6"/>
      <x:c r="D190" s="6"/>
      <x:c r="E190" s="6"/>
      <x:c r="F190" s="6"/>
      <x:c r="G190" s="6"/>
    </x:row>
    <x:row r="191">
      <x:c r="A191" s="7"/>
      <x:c r="B191" s="7"/>
      <x:c r="C191" s="6"/>
      <x:c r="D191" s="6"/>
      <x:c r="E191" s="6"/>
      <x:c r="F191" s="6"/>
      <x:c r="G191" s="6"/>
    </x:row>
    <x:row r="192">
      <x:c r="A192" s="7"/>
      <x:c r="B192" s="7"/>
      <x:c r="C192" s="6"/>
      <x:c r="D192" s="6"/>
      <x:c r="E192" s="6"/>
      <x:c r="F192" s="6"/>
      <x:c r="G192" s="6"/>
    </x:row>
    <x:row r="193">
      <x:c r="A193" s="7"/>
      <x:c r="B193" s="7"/>
      <x:c r="C193" s="6"/>
      <x:c r="D193" s="6"/>
      <x:c r="E193" s="6"/>
      <x:c r="F193" s="6"/>
      <x:c r="G193" s="6"/>
    </x:row>
    <x:row r="194">
      <x:c r="A194" s="7"/>
      <x:c r="B194" s="7"/>
      <x:c r="C194" s="6"/>
      <x:c r="D194" s="6"/>
      <x:c r="E194" s="6"/>
      <x:c r="F194" s="6"/>
      <x:c r="G194" s="6"/>
    </x:row>
    <x:row r="195">
      <x:c r="A195" s="7"/>
      <x:c r="B195" s="7"/>
      <x:c r="C195" s="6"/>
      <x:c r="D195" s="6"/>
      <x:c r="E195" s="6"/>
      <x:c r="F195" s="6"/>
      <x:c r="G195" s="6"/>
    </x:row>
    <x:row r="196">
      <x:c r="A196" s="7"/>
      <x:c r="B196" s="7"/>
      <x:c r="C196" s="6"/>
      <x:c r="D196" s="6"/>
      <x:c r="E196" s="6"/>
      <x:c r="F196" s="6"/>
      <x:c r="G196" s="6"/>
    </x:row>
    <x:row r="197">
      <x:c r="A197" s="7"/>
      <x:c r="B197" s="7"/>
      <x:c r="C197" s="6"/>
      <x:c r="D197" s="6"/>
      <x:c r="E197" s="6"/>
      <x:c r="F197" s="6"/>
      <x:c r="G197" s="6"/>
    </x:row>
    <x:row r="198">
      <x:c r="A198" s="7"/>
      <x:c r="B198" s="7"/>
      <x:c r="C198" s="6"/>
      <x:c r="D198" s="6"/>
      <x:c r="E198" s="6"/>
      <x:c r="F198" s="6"/>
      <x:c r="G198" s="6"/>
    </x:row>
    <x:row r="199">
      <x:c r="A199" s="7"/>
      <x:c r="B199" s="7"/>
      <x:c r="C199" s="6"/>
      <x:c r="D199" s="6"/>
      <x:c r="E199" s="6"/>
      <x:c r="F199" s="6"/>
      <x:c r="G199" s="6"/>
    </x:row>
    <x:row r="200">
      <x:c r="A200" s="7"/>
      <x:c r="B200" s="7"/>
      <x:c r="C200" s="6"/>
      <x:c r="D200" s="6"/>
      <x:c r="E200" s="6"/>
      <x:c r="F200" s="6"/>
      <x:c r="G20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9" hidden="0" customWidth="1"/>
    <x:col min="13" max="13" width="26" hidden="0" customWidth="1"/>
    <x:col min="14" max="14" width="17" hidden="0" customWidth="1"/>
  </x:cols>
  <x:sheetData>
    <x:row r="1" ht="25" customHeight="1">
      <x:c r="A1" s="7"/>
      <x:c r="B1" s="7"/>
      <x:c r="C1" s="4" t="str">
        <x:v>13-week cash forecast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"/>
      <x:c r="B2" s="7"/>
      <x:c r="C2" s="5" t="str">
        <x:v>Fictional KES example | Weekly amounts are editable. Base and downside share one active case selector on Overview.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30" customHeight="1">
      <x:c r="A5" s="7"/>
      <x:c r="B5" s="7"/>
      <x:c r="C5" s="25" t="str">
        <x:v>Week</x:v>
      </x:c>
      <x:c r="D5" s="25" t="str">
        <x:v>Week beginning</x:v>
      </x:c>
      <x:c r="E5" s="25" t="str">
        <x:v>Opening cash</x:v>
      </x:c>
      <x:c r="F5" s="25" t="str">
        <x:v>Base receipts</x:v>
      </x:c>
      <x:c r="G5" s="25" t="str">
        <x:v>Downside receipts</x:v>
      </x:c>
      <x:c r="H5" s="25" t="str">
        <x:v>Active receipts</x:v>
      </x:c>
      <x:c r="I5" s="25" t="str">
        <x:v>Base suppliers</x:v>
      </x:c>
      <x:c r="J5" s="25" t="str">
        <x:v>Downside suppliers</x:v>
      </x:c>
      <x:c r="K5" s="25" t="str">
        <x:v>Active suppliers</x:v>
      </x:c>
      <x:c r="L5" s="25" t="str">
        <x:v>Payroll and fixed</x:v>
      </x:c>
      <x:c r="M5" s="25" t="str">
        <x:v>Tax, debt, capex and draws</x:v>
      </x:c>
      <x:c r="N5" s="25" t="str">
        <x:v>Closing cash</x:v>
      </x:c>
    </x:row>
    <x:row r="6">
      <x:c r="A6" s="7"/>
      <x:c r="B6" s="7"/>
      <x:c r="C6" s="27" t="n">
        <x:v>1</x:v>
      </x:c>
      <x:c r="D6" s="69" t="n">
        <x:v>46293</x:v>
      </x:c>
      <x:c r="E6" s="76" t="n">
        <x:f>Overview!$D$6</x:f>
        <x:v>1200000</x:v>
      </x:c>
      <x:c r="F6" s="36" t="n">
        <x:v>1450000</x:v>
      </x:c>
      <x:c r="G6" s="36" t="n">
        <x:v>1100000</x:v>
      </x:c>
      <x:c r="H6" s="72" t="n">
        <x:f>IF(Overview!$D$4="Downside",G6,F6)</x:f>
        <x:v>1450000</x:v>
      </x:c>
      <x:c r="I6" s="36" t="n">
        <x:v>800000</x:v>
      </x:c>
      <x:c r="J6" s="36" t="n">
        <x:v>900000</x:v>
      </x:c>
      <x:c r="K6" s="72" t="n">
        <x:f>IF(Overview!$D$4="Downside",J6,I6)</x:f>
        <x:v>800000</x:v>
      </x:c>
      <x:c r="L6" s="36" t="n">
        <x:v>350000</x:v>
      </x:c>
      <x:c r="M6" s="36" t="n">
        <x:v>250000</x:v>
      </x:c>
      <x:c r="N6" s="72" t="n">
        <x:f>E6+H6-K6-L6-M6</x:f>
        <x:v>1250000</x:v>
      </x:c>
    </x:row>
    <x:row r="7">
      <x:c r="A7" s="7"/>
      <x:c r="B7" s="7"/>
      <x:c r="C7" s="28" t="n">
        <x:v>2</x:v>
      </x:c>
      <x:c r="D7" s="70" t="n">
        <x:v>46300</x:v>
      </x:c>
      <x:c r="E7" s="73" t="n">
        <x:f>N6</x:f>
        <x:v>1250000</x:v>
      </x:c>
      <x:c r="F7" s="37" t="n">
        <x:v>1200000</x:v>
      </x:c>
      <x:c r="G7" s="37" t="n">
        <x:v>800000</x:v>
      </x:c>
      <x:c r="H7" s="73" t="n">
        <x:f>IF(Overview!$D$4="Downside",G7,F7)</x:f>
        <x:v>1200000</x:v>
      </x:c>
      <x:c r="I7" s="37" t="n">
        <x:v>800000</x:v>
      </x:c>
      <x:c r="J7" s="37" t="n">
        <x:v>850000</x:v>
      </x:c>
      <x:c r="K7" s="73" t="n">
        <x:f>IF(Overview!$D$4="Downside",J7,I7)</x:f>
        <x:v>800000</x:v>
      </x:c>
      <x:c r="L7" s="37" t="n">
        <x:v>350000</x:v>
      </x:c>
      <x:c r="M7" s="37" t="n">
        <x:v>250000</x:v>
      </x:c>
      <x:c r="N7" s="73" t="n">
        <x:f>E7+H7-K7-L7-M7</x:f>
        <x:v>1050000</x:v>
      </x:c>
    </x:row>
    <x:row r="8">
      <x:c r="A8" s="7"/>
      <x:c r="B8" s="7"/>
      <x:c r="C8" s="28" t="n">
        <x:v>3</x:v>
      </x:c>
      <x:c r="D8" s="70" t="n">
        <x:v>46307</x:v>
      </x:c>
      <x:c r="E8" s="73" t="n">
        <x:f>N7</x:f>
        <x:v>1050000</x:v>
      </x:c>
      <x:c r="F8" s="37" t="n">
        <x:v>1900000</x:v>
      </x:c>
      <x:c r="G8" s="37" t="n">
        <x:v>1200000</x:v>
      </x:c>
      <x:c r="H8" s="73" t="n">
        <x:f>IF(Overview!$D$4="Downside",G8,F8)</x:f>
        <x:v>1900000</x:v>
      </x:c>
      <x:c r="I8" s="37" t="n">
        <x:v>1100000</x:v>
      </x:c>
      <x:c r="J8" s="37" t="n">
        <x:v>1200000</x:v>
      </x:c>
      <x:c r="K8" s="73" t="n">
        <x:f>IF(Overview!$D$4="Downside",J8,I8)</x:f>
        <x:v>1100000</x:v>
      </x:c>
      <x:c r="L8" s="37" t="n">
        <x:v>350000</x:v>
      </x:c>
      <x:c r="M8" s="37" t="n">
        <x:v>250000</x:v>
      </x:c>
      <x:c r="N8" s="73" t="n">
        <x:f>E8+H8-K8-L8-M8</x:f>
        <x:v>1250000</x:v>
      </x:c>
    </x:row>
    <x:row r="9">
      <x:c r="A9" s="7"/>
      <x:c r="B9" s="7"/>
      <x:c r="C9" s="28" t="n">
        <x:v>4</x:v>
      </x:c>
      <x:c r="D9" s="70" t="n">
        <x:v>46314</x:v>
      </x:c>
      <x:c r="E9" s="73" t="n">
        <x:f>N8</x:f>
        <x:v>1250000</x:v>
      </x:c>
      <x:c r="F9" s="37" t="n">
        <x:v>1300000</x:v>
      </x:c>
      <x:c r="G9" s="37" t="n">
        <x:v>900000</x:v>
      </x:c>
      <x:c r="H9" s="73" t="n">
        <x:f>IF(Overview!$D$4="Downside",G9,F9)</x:f>
        <x:v>1300000</x:v>
      </x:c>
      <x:c r="I9" s="37" t="n">
        <x:v>800000</x:v>
      </x:c>
      <x:c r="J9" s="37" t="n">
        <x:v>950000</x:v>
      </x:c>
      <x:c r="K9" s="73" t="n">
        <x:f>IF(Overview!$D$4="Downside",J9,I9)</x:f>
        <x:v>800000</x:v>
      </x:c>
      <x:c r="L9" s="37" t="n">
        <x:v>350000</x:v>
      </x:c>
      <x:c r="M9" s="37" t="n">
        <x:v>250000</x:v>
      </x:c>
      <x:c r="N9" s="73" t="n">
        <x:f>E9+H9-K9-L9-M9</x:f>
        <x:v>1150000</x:v>
      </x:c>
    </x:row>
    <x:row r="10">
      <x:c r="A10" s="7"/>
      <x:c r="B10" s="7"/>
      <x:c r="C10" s="28" t="n">
        <x:v>5</x:v>
      </x:c>
      <x:c r="D10" s="70" t="n">
        <x:v>46321</x:v>
      </x:c>
      <x:c r="E10" s="73" t="n">
        <x:f>N9</x:f>
        <x:v>1150000</x:v>
      </x:c>
      <x:c r="F10" s="37" t="n">
        <x:v>2500000</x:v>
      </x:c>
      <x:c r="G10" s="37" t="n">
        <x:v>1600000</x:v>
      </x:c>
      <x:c r="H10" s="73" t="n">
        <x:f>IF(Overview!$D$4="Downside",G10,F10)</x:f>
        <x:v>2500000</x:v>
      </x:c>
      <x:c r="I10" s="37" t="n">
        <x:v>1300000</x:v>
      </x:c>
      <x:c r="J10" s="37" t="n">
        <x:v>1450000</x:v>
      </x:c>
      <x:c r="K10" s="73" t="n">
        <x:f>IF(Overview!$D$4="Downside",J10,I10)</x:f>
        <x:v>1300000</x:v>
      </x:c>
      <x:c r="L10" s="37" t="n">
        <x:v>350000</x:v>
      </x:c>
      <x:c r="M10" s="37" t="n">
        <x:v>250000</x:v>
      </x:c>
      <x:c r="N10" s="73" t="n">
        <x:f>E10+H10-K10-L10-M10</x:f>
        <x:v>1750000</x:v>
      </x:c>
    </x:row>
    <x:row r="11">
      <x:c r="A11" s="7"/>
      <x:c r="B11" s="7"/>
      <x:c r="C11" s="28" t="n">
        <x:v>6</x:v>
      </x:c>
      <x:c r="D11" s="70" t="n">
        <x:v>46328</x:v>
      </x:c>
      <x:c r="E11" s="73" t="n">
        <x:f>N10</x:f>
        <x:v>1750000</x:v>
      </x:c>
      <x:c r="F11" s="37" t="n">
        <x:v>1100000</x:v>
      </x:c>
      <x:c r="G11" s="37" t="n">
        <x:v>700000</x:v>
      </x:c>
      <x:c r="H11" s="73" t="n">
        <x:f>IF(Overview!$D$4="Downside",G11,F11)</x:f>
        <x:v>1100000</x:v>
      </x:c>
      <x:c r="I11" s="37" t="n">
        <x:v>800000</x:v>
      </x:c>
      <x:c r="J11" s="37" t="n">
        <x:v>850000</x:v>
      </x:c>
      <x:c r="K11" s="73" t="n">
        <x:f>IF(Overview!$D$4="Downside",J11,I11)</x:f>
        <x:v>800000</x:v>
      </x:c>
      <x:c r="L11" s="37" t="n">
        <x:v>350000</x:v>
      </x:c>
      <x:c r="M11" s="37" t="n">
        <x:v>250000</x:v>
      </x:c>
      <x:c r="N11" s="73" t="n">
        <x:f>E11+H11-K11-L11-M11</x:f>
        <x:v>1450000</x:v>
      </x:c>
    </x:row>
    <x:row r="12">
      <x:c r="A12" s="7"/>
      <x:c r="B12" s="7"/>
      <x:c r="C12" s="28" t="n">
        <x:v>7</x:v>
      </x:c>
      <x:c r="D12" s="70" t="n">
        <x:v>46335</x:v>
      </x:c>
      <x:c r="E12" s="73" t="n">
        <x:f>N11</x:f>
        <x:v>1450000</x:v>
      </x:c>
      <x:c r="F12" s="37" t="n">
        <x:v>1400000</x:v>
      </x:c>
      <x:c r="G12" s="37" t="n">
        <x:v>900000</x:v>
      </x:c>
      <x:c r="H12" s="73" t="n">
        <x:f>IF(Overview!$D$4="Downside",G12,F12)</x:f>
        <x:v>1400000</x:v>
      </x:c>
      <x:c r="I12" s="37" t="n">
        <x:v>800000</x:v>
      </x:c>
      <x:c r="J12" s="37" t="n">
        <x:v>950000</x:v>
      </x:c>
      <x:c r="K12" s="73" t="n">
        <x:f>IF(Overview!$D$4="Downside",J12,I12)</x:f>
        <x:v>800000</x:v>
      </x:c>
      <x:c r="L12" s="37" t="n">
        <x:v>350000</x:v>
      </x:c>
      <x:c r="M12" s="37" t="n">
        <x:v>250000</x:v>
      </x:c>
      <x:c r="N12" s="73" t="n">
        <x:f>E12+H12-K12-L12-M12</x:f>
        <x:v>1450000</x:v>
      </x:c>
    </x:row>
    <x:row r="13">
      <x:c r="A13" s="7"/>
      <x:c r="B13" s="7"/>
      <x:c r="C13" s="28" t="n">
        <x:v>8</x:v>
      </x:c>
      <x:c r="D13" s="70" t="n">
        <x:v>46342</x:v>
      </x:c>
      <x:c r="E13" s="73" t="n">
        <x:f>N12</x:f>
        <x:v>1450000</x:v>
      </x:c>
      <x:c r="F13" s="37" t="n">
        <x:v>1900000</x:v>
      </x:c>
      <x:c r="G13" s="37" t="n">
        <x:v>1200000</x:v>
      </x:c>
      <x:c r="H13" s="73" t="n">
        <x:f>IF(Overview!$D$4="Downside",G13,F13)</x:f>
        <x:v>1900000</x:v>
      </x:c>
      <x:c r="I13" s="37" t="n">
        <x:v>1100000</x:v>
      </x:c>
      <x:c r="J13" s="37" t="n">
        <x:v>1200000</x:v>
      </x:c>
      <x:c r="K13" s="73" t="n">
        <x:f>IF(Overview!$D$4="Downside",J13,I13)</x:f>
        <x:v>1100000</x:v>
      </x:c>
      <x:c r="L13" s="37" t="n">
        <x:v>350000</x:v>
      </x:c>
      <x:c r="M13" s="37" t="n">
        <x:v>250000</x:v>
      </x:c>
      <x:c r="N13" s="73" t="n">
        <x:f>E13+H13-K13-L13-M13</x:f>
        <x:v>1650000</x:v>
      </x:c>
    </x:row>
    <x:row r="14">
      <x:c r="A14" s="7"/>
      <x:c r="B14" s="7"/>
      <x:c r="C14" s="28" t="n">
        <x:v>9</x:v>
      </x:c>
      <x:c r="D14" s="70" t="n">
        <x:v>46349</x:v>
      </x:c>
      <x:c r="E14" s="73" t="n">
        <x:f>N13</x:f>
        <x:v>1650000</x:v>
      </x:c>
      <x:c r="F14" s="37" t="n">
        <x:v>1200000</x:v>
      </x:c>
      <x:c r="G14" s="37" t="n">
        <x:v>800000</x:v>
      </x:c>
      <x:c r="H14" s="73" t="n">
        <x:f>IF(Overview!$D$4="Downside",G14,F14)</x:f>
        <x:v>1200000</x:v>
      </x:c>
      <x:c r="I14" s="37" t="n">
        <x:v>800000</x:v>
      </x:c>
      <x:c r="J14" s="37" t="n">
        <x:v>900000</x:v>
      </x:c>
      <x:c r="K14" s="73" t="n">
        <x:f>IF(Overview!$D$4="Downside",J14,I14)</x:f>
        <x:v>800000</x:v>
      </x:c>
      <x:c r="L14" s="37" t="n">
        <x:v>350000</x:v>
      </x:c>
      <x:c r="M14" s="37" t="n">
        <x:v>250000</x:v>
      </x:c>
      <x:c r="N14" s="73" t="n">
        <x:f>E14+H14-K14-L14-M14</x:f>
        <x:v>1450000</x:v>
      </x:c>
    </x:row>
    <x:row r="15">
      <x:c r="A15" s="7"/>
      <x:c r="B15" s="7"/>
      <x:c r="C15" s="28" t="n">
        <x:v>10</x:v>
      </x:c>
      <x:c r="D15" s="70" t="n">
        <x:v>46356</x:v>
      </x:c>
      <x:c r="E15" s="73" t="n">
        <x:f>N14</x:f>
        <x:v>1450000</x:v>
      </x:c>
      <x:c r="F15" s="37" t="n">
        <x:v>2300000</x:v>
      </x:c>
      <x:c r="G15" s="37" t="n">
        <x:v>1500000</x:v>
      </x:c>
      <x:c r="H15" s="73" t="n">
        <x:f>IF(Overview!$D$4="Downside",G15,F15)</x:f>
        <x:v>2300000</x:v>
      </x:c>
      <x:c r="I15" s="37" t="n">
        <x:v>1200000</x:v>
      </x:c>
      <x:c r="J15" s="37" t="n">
        <x:v>1350000</x:v>
      </x:c>
      <x:c r="K15" s="73" t="n">
        <x:f>IF(Overview!$D$4="Downside",J15,I15)</x:f>
        <x:v>1200000</x:v>
      </x:c>
      <x:c r="L15" s="37" t="n">
        <x:v>350000</x:v>
      </x:c>
      <x:c r="M15" s="37" t="n">
        <x:v>250000</x:v>
      </x:c>
      <x:c r="N15" s="73" t="n">
        <x:f>E15+H15-K15-L15-M15</x:f>
        <x:v>1950000</x:v>
      </x:c>
    </x:row>
    <x:row r="16">
      <x:c r="A16" s="7"/>
      <x:c r="B16" s="7"/>
      <x:c r="C16" s="28" t="n">
        <x:v>11</x:v>
      </x:c>
      <x:c r="D16" s="70" t="n">
        <x:v>46363</x:v>
      </x:c>
      <x:c r="E16" s="73" t="n">
        <x:f>N15</x:f>
        <x:v>1950000</x:v>
      </x:c>
      <x:c r="F16" s="37" t="n">
        <x:v>1000000</x:v>
      </x:c>
      <x:c r="G16" s="37" t="n">
        <x:v>650000</x:v>
      </x:c>
      <x:c r="H16" s="73" t="n">
        <x:f>IF(Overview!$D$4="Downside",G16,F16)</x:f>
        <x:v>1000000</x:v>
      </x:c>
      <x:c r="I16" s="37" t="n">
        <x:v>750000</x:v>
      </x:c>
      <x:c r="J16" s="37" t="n">
        <x:v>800000</x:v>
      </x:c>
      <x:c r="K16" s="73" t="n">
        <x:f>IF(Overview!$D$4="Downside",J16,I16)</x:f>
        <x:v>750000</x:v>
      </x:c>
      <x:c r="L16" s="37" t="n">
        <x:v>350000</x:v>
      </x:c>
      <x:c r="M16" s="37" t="n">
        <x:v>250000</x:v>
      </x:c>
      <x:c r="N16" s="73" t="n">
        <x:f>E16+H16-K16-L16-M16</x:f>
        <x:v>1600000</x:v>
      </x:c>
    </x:row>
    <x:row r="17">
      <x:c r="A17" s="7"/>
      <x:c r="B17" s="7"/>
      <x:c r="C17" s="28" t="n">
        <x:v>12</x:v>
      </x:c>
      <x:c r="D17" s="70" t="n">
        <x:v>46370</x:v>
      </x:c>
      <x:c r="E17" s="73" t="n">
        <x:f>N16</x:f>
        <x:v>1600000</x:v>
      </x:c>
      <x:c r="F17" s="37" t="n">
        <x:v>1600000</x:v>
      </x:c>
      <x:c r="G17" s="37" t="n">
        <x:v>1050000</x:v>
      </x:c>
      <x:c r="H17" s="73" t="n">
        <x:f>IF(Overview!$D$4="Downside",G17,F17)</x:f>
        <x:v>1600000</x:v>
      </x:c>
      <x:c r="I17" s="37" t="n">
        <x:v>950000</x:v>
      </x:c>
      <x:c r="J17" s="37" t="n">
        <x:v>1100000</x:v>
      </x:c>
      <x:c r="K17" s="73" t="n">
        <x:f>IF(Overview!$D$4="Downside",J17,I17)</x:f>
        <x:v>950000</x:v>
      </x:c>
      <x:c r="L17" s="37" t="n">
        <x:v>350000</x:v>
      </x:c>
      <x:c r="M17" s="37" t="n">
        <x:v>250000</x:v>
      </x:c>
      <x:c r="N17" s="73" t="n">
        <x:f>E17+H17-K17-L17-M17</x:f>
        <x:v>1650000</x:v>
      </x:c>
    </x:row>
    <x:row r="18">
      <x:c r="A18" s="7"/>
      <x:c r="B18" s="7"/>
      <x:c r="C18" s="29" t="n">
        <x:v>13</x:v>
      </x:c>
      <x:c r="D18" s="71" t="n">
        <x:v>46377</x:v>
      </x:c>
      <x:c r="E18" s="74" t="n">
        <x:f>N17</x:f>
        <x:v>1650000</x:v>
      </x:c>
      <x:c r="F18" s="38" t="n">
        <x:v>2000000</x:v>
      </x:c>
      <x:c r="G18" s="38" t="n">
        <x:v>1300000</x:v>
      </x:c>
      <x:c r="H18" s="74" t="n">
        <x:f>IF(Overview!$D$4="Downside",G18,F18)</x:f>
        <x:v>2000000</x:v>
      </x:c>
      <x:c r="I18" s="38" t="n">
        <x:v>1100000</x:v>
      </x:c>
      <x:c r="J18" s="38" t="n">
        <x:v>1250000</x:v>
      </x:c>
      <x:c r="K18" s="74" t="n">
        <x:f>IF(Overview!$D$4="Downside",J18,I18)</x:f>
        <x:v>1100000</x:v>
      </x:c>
      <x:c r="L18" s="38" t="n">
        <x:v>350000</x:v>
      </x:c>
      <x:c r="M18" s="38" t="n">
        <x:v>250000</x:v>
      </x:c>
      <x:c r="N18" s="74" t="n">
        <x:f>E18+H18-K18-L18-M18</x:f>
        <x:v>1950000</x:v>
      </x:c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7"/>
      <x:c r="B20" s="7"/>
      <x:c r="C20" s="17" t="str">
        <x:v>Lowest projected cash</x:v>
      </x:c>
      <x:c r="D20" s="68" t="n">
        <x:f>MIN(N6:N18)</x:f>
        <x:v>1050000</x:v>
      </x:c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7"/>
      <x:c r="B21" s="7"/>
      <x:c r="C21" s="6" t="str">
        <x:v>Reserve floor</x:v>
      </x:c>
      <x:c r="D21" s="21" t="n">
        <x:f>Overview!D7</x:f>
        <x:v>500000</x:v>
      </x:c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7"/>
      <x:c r="B22" s="7"/>
      <x:c r="C22" s="6" t="str">
        <x:v>Decision prompt</x:v>
      </x:c>
      <x:c r="D22" s="6" t="str">
        <x:f>IF(D20&lt;D21,"Breach: act on named receipts and outflows","Above reserve floor")</x:f>
        <x:v>Above reserve floor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7"/>
      <x:c r="B23" s="7"/>
      <x:c r="C23" s="6" t="str">
        <x:v>Average weekly gross cash outflow</x:v>
      </x:c>
      <x:c r="D23" s="21" t="n">
        <x:f>AVERAGE(K6:K18)+AVERAGE(L6:L18)+AVERAGE(M6:M18)</x:f>
        <x:v>1546153.846153846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7"/>
      <x:c r="B24" s="7"/>
      <x:c r="C24" s="6" t="str">
        <x:v>Average weekly net burn</x:v>
      </x:c>
      <x:c r="D24" s="21" t="n">
        <x:f>D23-AVERAGE(H6:H18)</x:f>
        <x:v>-57692.307692307746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7"/>
      <x:c r="B25" s="7"/>
      <x:c r="C25" s="6" t="str">
        <x:v>Indicative runway from lowest cash (weeks)</x:v>
      </x:c>
      <x:c r="D25" s="75" t="str">
        <x:f>IF(D24&lt;=0,"Cash generation in sample",MAX(0,D20)/D24)</x:f>
        <x:v>Cash generation in sample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4" hidden="0" customWidth="1"/>
    <x:col min="5" max="5" width="19" hidden="0" customWidth="1"/>
    <x:col min="6" max="6" width="16" hidden="0" customWidth="1"/>
    <x:col min="7" max="7" width="19" hidden="0" customWidth="1"/>
    <x:col min="8" max="8" width="40" hidden="0" customWidth="1"/>
    <x:col min="9" max="9" width="18" hidden="0" customWidth="1"/>
  </x:cols>
  <x:sheetData>
    <x:row r="1" ht="25" customHeight="1">
      <x:c r="A1" s="7"/>
      <x:c r="B1" s="7"/>
      <x:c r="C1" s="4" t="str">
        <x:v>Maintenance and replacement register</x:v>
      </x:c>
      <x:c r="D1" s="4"/>
      <x:c r="E1" s="4"/>
      <x:c r="F1" s="4"/>
      <x:c r="G1" s="4"/>
      <x:c r="H1" s="4"/>
      <x:c r="I1" s="4"/>
    </x:row>
    <x:row r="2">
      <x:c r="A2" s="7"/>
      <x:c r="B2" s="7"/>
      <x:c r="C2" s="5" t="str">
        <x:v>Fictional sample assets | Replace with an inspected asset list, quotes, service records, useful life and lead-time evidence.</x:v>
      </x:c>
      <x:c r="D2" s="5"/>
      <x:c r="E2" s="5"/>
      <x:c r="F2" s="5"/>
      <x:c r="G2" s="5"/>
      <x:c r="H2" s="5"/>
      <x:c r="I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</x:row>
    <x:row r="5" ht="30" customHeight="1">
      <x:c r="A5" s="7"/>
      <x:c r="B5" s="7"/>
      <x:c r="C5" s="25" t="str">
        <x:v>Asset / system</x:v>
      </x:c>
      <x:c r="D5" s="25" t="str">
        <x:v>Age (years)</x:v>
      </x:c>
      <x:c r="E5" s="25" t="str">
        <x:v>Replacement cost</x:v>
      </x:c>
      <x:c r="F5" s="25" t="str">
        <x:v>Months to plan</x:v>
      </x:c>
      <x:c r="G5" s="25" t="str">
        <x:v>Annual reserve</x:v>
      </x:c>
      <x:c r="H5" s="25" t="str">
        <x:v>Evidence to obtain</x:v>
      </x:c>
      <x:c r="I5" s="25" t="str">
        <x:v>Owner</x:v>
      </x:c>
    </x:row>
    <x:row r="6">
      <x:c r="A6" s="7"/>
      <x:c r="B6" s="7"/>
      <x:c r="C6" s="30" t="str">
        <x:v>Cold-room compressor</x:v>
      </x:c>
      <x:c r="D6" s="33" t="n">
        <x:v>4</x:v>
      </x:c>
      <x:c r="E6" s="36" t="n">
        <x:v>600000</x:v>
      </x:c>
      <x:c r="F6" s="36" t="n">
        <x:v>24</x:v>
      </x:c>
      <x:c r="G6" s="72" t="n">
        <x:f>IF(F6=0,"",E6/F6*12)</x:f>
        <x:v>300000</x:v>
      </x:c>
      <x:c r="H6" s="77" t="str">
        <x:v>Supplier quote needed</x:v>
      </x:c>
      <x:c r="I6" s="33" t="str">
        <x:v>Operations</x:v>
      </x:c>
    </x:row>
    <x:row r="7">
      <x:c r="A7" s="7"/>
      <x:c r="B7" s="7"/>
      <x:c r="C7" s="31" t="str">
        <x:v>Delivery van renewal</x:v>
      </x:c>
      <x:c r="D7" s="34" t="n">
        <x:v>6</x:v>
      </x:c>
      <x:c r="E7" s="37" t="n">
        <x:v>2100000</x:v>
      </x:c>
      <x:c r="F7" s="37" t="n">
        <x:v>36</x:v>
      </x:c>
      <x:c r="G7" s="73" t="n">
        <x:f>IF(F7=0,"",E7/F7*12)</x:f>
        <x:v>700000</x:v>
      </x:c>
      <x:c r="H7" s="78" t="str">
        <x:v>Condition and replacement plan</x:v>
      </x:c>
      <x:c r="I7" s="34" t="str">
        <x:v>Fleet lead</x:v>
      </x:c>
    </x:row>
    <x:row r="8">
      <x:c r="A8" s="7"/>
      <x:c r="B8" s="7"/>
      <x:c r="C8" s="31" t="str">
        <x:v>Backup generator</x:v>
      </x:c>
      <x:c r="D8" s="34" t="n">
        <x:v>7</x:v>
      </x:c>
      <x:c r="E8" s="37" t="n">
        <x:v>850000</x:v>
      </x:c>
      <x:c r="F8" s="37" t="n">
        <x:v>30</x:v>
      </x:c>
      <x:c r="G8" s="73" t="n">
        <x:f>IF(F8=0,"",E8/F8*12)</x:f>
        <x:v>340000</x:v>
      </x:c>
      <x:c r="H8" s="78" t="str">
        <x:v>Load test and service log</x:v>
      </x:c>
      <x:c r="I8" s="34" t="str">
        <x:v>Facilities</x:v>
      </x:c>
    </x:row>
    <x:row r="9">
      <x:c r="A9" s="7"/>
      <x:c r="B9" s="7"/>
      <x:c r="C9" s="31" t="str">
        <x:v>POS and network equipment</x:v>
      </x:c>
      <x:c r="D9" s="34" t="n">
        <x:v>3</x:v>
      </x:c>
      <x:c r="E9" s="37" t="n">
        <x:v>480000</x:v>
      </x:c>
      <x:c r="F9" s="37" t="n">
        <x:v>24</x:v>
      </x:c>
      <x:c r="G9" s="73" t="n">
        <x:f>IF(F9=0,"",E9/F9*12)</x:f>
        <x:v>240000</x:v>
      </x:c>
      <x:c r="H9" s="78" t="str">
        <x:v>System age and support status</x:v>
      </x:c>
      <x:c r="I9" s="34" t="str">
        <x:v>IT</x:v>
      </x:c>
    </x:row>
    <x:row r="10">
      <x:c r="A10" s="7"/>
      <x:c r="B10" s="7"/>
      <x:c r="C10" s="32" t="str">
        <x:v>Shelving and store fittings</x:v>
      </x:c>
      <x:c r="D10" s="35" t="n">
        <x:v>2</x:v>
      </x:c>
      <x:c r="E10" s="38" t="n">
        <x:v>300000</x:v>
      </x:c>
      <x:c r="F10" s="38" t="n">
        <x:v>48</x:v>
      </x:c>
      <x:c r="G10" s="74" t="n">
        <x:f>IF(F10=0,"",E10/F10*12)</x:f>
        <x:v>75000</x:v>
      </x:c>
      <x:c r="H10" s="79" t="str">
        <x:v>Inspection and repair history</x:v>
      </x:c>
      <x:c r="I10" s="35" t="str">
        <x:v>Store manager</x:v>
      </x:c>
    </x:row>
    <x:row r="11">
      <x:c r="A11" s="7"/>
      <x:c r="B11" s="7"/>
      <x:c r="C11" s="6"/>
      <x:c r="D11" s="6"/>
      <x:c r="E11" s="6"/>
      <x:c r="F11" s="6"/>
      <x:c r="G11" s="6"/>
      <x:c r="H11" s="6"/>
      <x:c r="I11" s="6"/>
    </x:row>
    <x:row r="12">
      <x:c r="A12" s="7"/>
      <x:c r="B12" s="7"/>
      <x:c r="C12" s="17" t="str">
        <x:v>Total annual reserve</x:v>
      </x:c>
      <x:c r="D12" s="68" t="n">
        <x:f>SUM(G6:G10)</x:f>
        <x:v>1655000</x:v>
      </x:c>
      <x:c r="E12" s="6"/>
      <x:c r="F12" s="6"/>
      <x:c r="G12" s="6"/>
      <x:c r="H12" s="6"/>
      <x:c r="I12" s="6"/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6" hidden="0" customWidth="1"/>
    <x:col min="4" max="4" width="17" hidden="0" customWidth="1"/>
    <x:col min="5" max="5" width="17" hidden="0" customWidth="1"/>
    <x:col min="6" max="6" width="19" hidden="0" customWidth="1"/>
    <x:col min="7" max="7" width="17" hidden="0" customWidth="1"/>
    <x:col min="8" max="8" width="16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2" hidden="0" customWidth="1"/>
    <x:col min="15" max="15" width="19" hidden="0" customWidth="1"/>
  </x:cols>
  <x:sheetData>
    <x:row r="1" ht="25" customHeight="1">
      <x:c r="A1" s="7"/>
      <x:c r="B1" s="7"/>
      <x:c r="C1" s="4" t="str">
        <x:v>Working-capital and cash-cycle schedule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7"/>
      <x:c r="B2" s="7"/>
      <x:c r="C2" s="5" t="str">
        <x:v>Fictional monthly sample | Receivable days use credit sales; payable days use credit purchases. The model does not reward overdue supplier balances.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</x:row>
    <x:row r="5" ht="30" customHeight="1">
      <x:c r="A5" s="7"/>
      <x:c r="B5" s="7"/>
      <x:c r="C5" s="25" t="str">
        <x:v>Month</x:v>
      </x:c>
      <x:c r="D5" s="25" t="str">
        <x:v>Credit sales</x:v>
      </x:c>
      <x:c r="E5" s="25" t="str">
        <x:v>Cost of sales</x:v>
      </x:c>
      <x:c r="F5" s="25" t="str">
        <x:v>Credit purchases</x:v>
      </x:c>
      <x:c r="G5" s="25" t="str">
        <x:v>Receivables</x:v>
      </x:c>
      <x:c r="H5" s="25" t="str">
        <x:v>Inventory</x:v>
      </x:c>
      <x:c r="I5" s="25" t="str">
        <x:v>Trade payables</x:v>
      </x:c>
      <x:c r="J5" s="25" t="str">
        <x:v>DSO (days)</x:v>
      </x:c>
      <x:c r="K5" s="25" t="str">
        <x:v>DIO (days)</x:v>
      </x:c>
      <x:c r="L5" s="25" t="str">
        <x:v>DPO (days)</x:v>
      </x:c>
      <x:c r="M5" s="25" t="str">
        <x:v>Cash cycle</x:v>
      </x:c>
      <x:c r="N5" s="25" t="str">
        <x:v>Net working capital</x:v>
      </x:c>
      <x:c r="O5" s="25" t="str">
        <x:v>Change in NWC</x:v>
      </x:c>
    </x:row>
    <x:row r="6">
      <x:c r="A6" s="7"/>
      <x:c r="B6" s="7"/>
      <x:c r="C6" s="80" t="n">
        <x:v>46296</x:v>
      </x:c>
      <x:c r="D6" s="36" t="n">
        <x:v>1500000</x:v>
      </x:c>
      <x:c r="E6" s="36" t="n">
        <x:v>2720000</x:v>
      </x:c>
      <x:c r="F6" s="36" t="n">
        <x:v>2720000</x:v>
      </x:c>
      <x:c r="G6" s="36" t="n">
        <x:v>1000000</x:v>
      </x:c>
      <x:c r="H6" s="36" t="n">
        <x:v>3000000</x:v>
      </x:c>
      <x:c r="I6" s="36" t="n">
        <x:v>2000000</x:v>
      </x:c>
      <x:c r="J6" s="83" t="n">
        <x:f>IF(D6=0,"",G6/D6*30)</x:f>
        <x:v>20</x:v>
      </x:c>
      <x:c r="K6" s="83" t="n">
        <x:f>IF(E6=0,"",H6/E6*30)</x:f>
        <x:v>33.08823529411765</x:v>
      </x:c>
      <x:c r="L6" s="83" t="n">
        <x:f>IF(F6=0,"",I6/F6*30)</x:f>
        <x:v>22.058823529411768</x:v>
      </x:c>
      <x:c r="M6" s="83" t="n">
        <x:f>J6+K6-L6</x:f>
        <x:v>31.029411764705884</x:v>
      </x:c>
      <x:c r="N6" s="72" t="n">
        <x:f>G6+H6-I6</x:f>
        <x:v>2000000</x:v>
      </x:c>
      <x:c r="O6" s="72"/>
    </x:row>
    <x:row r="7">
      <x:c r="A7" s="7"/>
      <x:c r="B7" s="7"/>
      <x:c r="C7" s="81" t="n">
        <x:v>46327</x:v>
      </x:c>
      <x:c r="D7" s="37" t="n">
        <x:v>1600000</x:v>
      </x:c>
      <x:c r="E7" s="37" t="n">
        <x:v>2800000</x:v>
      </x:c>
      <x:c r="F7" s="37" t="n">
        <x:v>2800000</x:v>
      </x:c>
      <x:c r="G7" s="37" t="n">
        <x:v>1200000</x:v>
      </x:c>
      <x:c r="H7" s="37" t="n">
        <x:v>3100000</x:v>
      </x:c>
      <x:c r="I7" s="37" t="n">
        <x:v>2100000</x:v>
      </x:c>
      <x:c r="J7" s="84" t="n">
        <x:f>IF(D7=0,"",G7/D7*30)</x:f>
        <x:v>22.5</x:v>
      </x:c>
      <x:c r="K7" s="84" t="n">
        <x:f>IF(E7=0,"",H7/E7*30)</x:f>
        <x:v>33.214285714285715</x:v>
      </x:c>
      <x:c r="L7" s="84" t="n">
        <x:f>IF(F7=0,"",I7/F7*30)</x:f>
        <x:v>22.5</x:v>
      </x:c>
      <x:c r="M7" s="84" t="n">
        <x:f>J7+K7-L7</x:f>
        <x:v>33.214285714285715</x:v>
      </x:c>
      <x:c r="N7" s="73" t="n">
        <x:f>G7+H7-I7</x:f>
        <x:v>2200000</x:v>
      </x:c>
      <x:c r="O7" s="73" t="n">
        <x:f>N7-N6</x:f>
        <x:v>200000</x:v>
      </x:c>
    </x:row>
    <x:row r="8">
      <x:c r="A8" s="7"/>
      <x:c r="B8" s="7"/>
      <x:c r="C8" s="82" t="n">
        <x:v>46357</x:v>
      </x:c>
      <x:c r="D8" s="38" t="n">
        <x:v>1700000</x:v>
      </x:c>
      <x:c r="E8" s="38" t="n">
        <x:v>2900000</x:v>
      </x:c>
      <x:c r="F8" s="38" t="n">
        <x:v>2900000</x:v>
      </x:c>
      <x:c r="G8" s="38" t="n">
        <x:v>1500000</x:v>
      </x:c>
      <x:c r="H8" s="38" t="n">
        <x:v>3600000</x:v>
      </x:c>
      <x:c r="I8" s="38" t="n">
        <x:v>2200000</x:v>
      </x:c>
      <x:c r="J8" s="85" t="n">
        <x:f>IF(D8=0,"",G8/D8*30)</x:f>
        <x:v>26.470588235294116</x:v>
      </x:c>
      <x:c r="K8" s="85" t="n">
        <x:f>IF(E8=0,"",H8/E8*30)</x:f>
        <x:v>37.241379310344826</x:v>
      </x:c>
      <x:c r="L8" s="85" t="n">
        <x:f>IF(F8=0,"",I8/F8*30)</x:f>
        <x:v>22.75862068965517</x:v>
      </x:c>
      <x:c r="M8" s="85" t="n">
        <x:f>J8+K8-L8</x:f>
        <x:v>40.95334685598377</x:v>
      </x:c>
      <x:c r="N8" s="74" t="n">
        <x:f>G8+H8-I8</x:f>
        <x:v>2900000</x:v>
      </x:c>
      <x:c r="O8" s="74" t="n">
        <x:f>N8-N7</x:f>
        <x:v>700000</x:v>
      </x:c>
    </x:row>
    <x:row r="9">
      <x:c r="A9" s="7"/>
      <x:c r="B9" s="7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</x:row>
    <x:row r="10">
      <x:c r="A10" s="7"/>
      <x:c r="B10" s="7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</x:row>
    <x:row r="11">
      <x:c r="A11" s="7"/>
      <x:c r="B11" s="7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</x:row>
    <x:row r="12">
      <x:c r="A12" s="7"/>
      <x:c r="B12" s="7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2" hidden="0" customWidth="1"/>
    <x:col min="4" max="4" width="19" hidden="0" customWidth="1"/>
    <x:col min="5" max="5" width="16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  <x:col min="10" max="10" width="15" hidden="0" customWidth="1"/>
    <x:col min="11" max="11" width="17" hidden="0" customWidth="1"/>
    <x:col min="12" max="12" width="13" hidden="0" customWidth="1"/>
    <x:col min="13" max="13" width="20" hidden="0" customWidth="1"/>
    <x:col min="14" max="14" width="44" hidden="0" customWidth="1"/>
  </x:cols>
  <x:sheetData>
    <x:row r="1" ht="25" customHeight="1">
      <x:c r="A1" s="7"/>
      <x:c r="B1" s="7"/>
      <x:c r="C1" s="4" t="str">
        <x:v>Customer receivables and ageing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"/>
      <x:c r="B2" s="7"/>
      <x:c r="C2" s="5" t="str">
        <x:v>Fictional invoice ledger | Enter due dates and cash applied from the customer subledger. Ageing follows contractual due date, not invoice date.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7"/>
      <x:c r="B4" s="7"/>
      <x:c r="C4" s="6" t="str">
        <x:v>Ageing as of</x:v>
      </x:c>
      <x:c r="D4" s="86" t="n">
        <x:v>46289</x:v>
      </x:c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30" customHeight="1">
      <x:c r="A5" s="7"/>
      <x:c r="B5" s="7"/>
      <x:c r="C5" s="25" t="str">
        <x:v>Invoice</x:v>
      </x:c>
      <x:c r="D5" s="25" t="str">
        <x:v>Customer</x:v>
      </x:c>
      <x:c r="E5" s="25" t="str">
        <x:v>Invoice date</x:v>
      </x:c>
      <x:c r="F5" s="25" t="str">
        <x:v>Contract due date</x:v>
      </x:c>
      <x:c r="G5" s="25" t="str">
        <x:v>Invoiced</x:v>
      </x:c>
      <x:c r="H5" s="25" t="str">
        <x:v>Cash applied</x:v>
      </x:c>
      <x:c r="I5" s="25" t="str">
        <x:v>Open balance</x:v>
      </x:c>
      <x:c r="J5" s="25" t="str">
        <x:v>Days past due</x:v>
      </x:c>
      <x:c r="K5" s="25" t="str">
        <x:v>Ageing band</x:v>
      </x:c>
      <x:c r="L5" s="25" t="str">
        <x:v>Dispute</x:v>
      </x:c>
      <x:c r="M5" s="25" t="str">
        <x:v>Action owner</x:v>
      </x:c>
      <x:c r="N5" s="25" t="str">
        <x:v>Next action</x:v>
      </x:c>
    </x:row>
    <x:row r="6">
      <x:c r="A6" s="7"/>
      <x:c r="B6" s="7"/>
      <x:c r="C6" s="33" t="str">
        <x:v>INV-26091</x:v>
      </x:c>
      <x:c r="D6" s="77" t="str">
        <x:v>Mara Foods</x:v>
      </x:c>
      <x:c r="E6" s="87" t="n">
        <x:v>46266</x:v>
      </x:c>
      <x:c r="F6" s="87" t="n">
        <x:v>46296</x:v>
      </x:c>
      <x:c r="G6" s="36" t="n">
        <x:v>1200000</x:v>
      </x:c>
      <x:c r="H6" s="36" t="n">
        <x:v>0</x:v>
      </x:c>
      <x:c r="I6" s="72" t="n">
        <x:f>G6-H6</x:f>
        <x:v>1200000</x:v>
      </x:c>
      <x:c r="J6" s="90" t="n">
        <x:f>IF(I6&lt;=0,0,MAX(0,$D$4-F6))</x:f>
        <x:v>0</x:v>
      </x:c>
      <x:c r="K6" s="27" t="str">
        <x:f>IF(I6&lt;=0,"Paid",IF($D$4&lt;F6,"Not due",IF(J6&lt;=30,"1-30",IF(J6&lt;=60,"31-60",IF(J6&lt;=90,"61-90","91+")))))</x:f>
        <x:v>Not due</x:v>
      </x:c>
      <x:c r="L6" s="77" t="str">
        <x:v>No</x:v>
      </x:c>
      <x:c r="M6" s="33" t="str">
        <x:v>Credit lead</x:v>
      </x:c>
      <x:c r="N6" s="77" t="str">
        <x:v>Confirm delivery acceptance</x:v>
      </x:c>
    </x:row>
    <x:row r="7">
      <x:c r="A7" s="7"/>
      <x:c r="B7" s="7"/>
      <x:c r="C7" s="34" t="str">
        <x:v>INV-26074</x:v>
      </x:c>
      <x:c r="D7" s="78" t="str">
        <x:v>Kifaru Retail</x:v>
      </x:c>
      <x:c r="E7" s="88" t="n">
        <x:v>46254</x:v>
      </x:c>
      <x:c r="F7" s="88" t="n">
        <x:v>46269</x:v>
      </x:c>
      <x:c r="G7" s="37" t="n">
        <x:v>850000</x:v>
      </x:c>
      <x:c r="H7" s="37" t="n">
        <x:v>0</x:v>
      </x:c>
      <x:c r="I7" s="73" t="n">
        <x:f>G7-H7</x:f>
        <x:v>850000</x:v>
      </x:c>
      <x:c r="J7" s="91" t="n">
        <x:f>IF(I7&lt;=0,0,MAX(0,$D$4-F7))</x:f>
        <x:v>20</x:v>
      </x:c>
      <x:c r="K7" s="28" t="str">
        <x:f>IF(I7&lt;=0,"Paid",IF($D$4&lt;F7,"Not due",IF(J7&lt;=30,"1-30",IF(J7&lt;=60,"31-60",IF(J7&lt;=90,"61-90","91+")))))</x:f>
        <x:v>1-30</x:v>
      </x:c>
      <x:c r="L7" s="78" t="str">
        <x:v>No</x:v>
      </x:c>
      <x:c r="M7" s="34" t="str">
        <x:v>Owner</x:v>
      </x:c>
      <x:c r="N7" s="78" t="str">
        <x:v>Call buyer and agree date</x:v>
      </x:c>
    </x:row>
    <x:row r="8">
      <x:c r="A8" s="7"/>
      <x:c r="B8" s="7"/>
      <x:c r="C8" s="34" t="str">
        <x:v>INV-26056</x:v>
      </x:c>
      <x:c r="D8" s="78" t="str">
        <x:v>Nia Pharmacy</x:v>
      </x:c>
      <x:c r="E8" s="88" t="n">
        <x:v>46224</x:v>
      </x:c>
      <x:c r="F8" s="88" t="n">
        <x:v>46254</x:v>
      </x:c>
      <x:c r="G8" s="37" t="n">
        <x:v>620000</x:v>
      </x:c>
      <x:c r="H8" s="37" t="n">
        <x:v>0</x:v>
      </x:c>
      <x:c r="I8" s="73" t="n">
        <x:f>G8-H8</x:f>
        <x:v>620000</x:v>
      </x:c>
      <x:c r="J8" s="91" t="n">
        <x:f>IF(I8&lt;=0,0,MAX(0,$D$4-F8))</x:f>
        <x:v>35</x:v>
      </x:c>
      <x:c r="K8" s="28" t="str">
        <x:f>IF(I8&lt;=0,"Paid",IF($D$4&lt;F8,"Not due",IF(J8&lt;=30,"1-30",IF(J8&lt;=60,"31-60",IF(J8&lt;=90,"61-90","91+")))))</x:f>
        <x:v>31-60</x:v>
      </x:c>
      <x:c r="L8" s="78" t="str">
        <x:v>No</x:v>
      </x:c>
      <x:c r="M8" s="34" t="str">
        <x:v>Credit lead</x:v>
      </x:c>
      <x:c r="N8" s="78" t="str">
        <x:v>Pause exposure pending promise</x:v>
      </x:c>
    </x:row>
    <x:row r="9">
      <x:c r="A9" s="7"/>
      <x:c r="B9" s="7"/>
      <x:c r="C9" s="34" t="str">
        <x:v>INV-26043</x:v>
      </x:c>
      <x:c r="D9" s="78" t="str">
        <x:v>Lakeview Hotel</x:v>
      </x:c>
      <x:c r="E9" s="88" t="n">
        <x:v>46208</x:v>
      </x:c>
      <x:c r="F9" s="88" t="n">
        <x:v>46238</x:v>
      </x:c>
      <x:c r="G9" s="37" t="n">
        <x:v>390000</x:v>
      </x:c>
      <x:c r="H9" s="37" t="n">
        <x:v>100000</x:v>
      </x:c>
      <x:c r="I9" s="73" t="n">
        <x:f>G9-H9</x:f>
        <x:v>290000</x:v>
      </x:c>
      <x:c r="J9" s="91" t="n">
        <x:f>IF(I9&lt;=0,0,MAX(0,$D$4-F9))</x:f>
        <x:v>51</x:v>
      </x:c>
      <x:c r="K9" s="28" t="str">
        <x:f>IF(I9&lt;=0,"Paid",IF($D$4&lt;F9,"Not due",IF(J9&lt;=30,"1-30",IF(J9&lt;=60,"31-60",IF(J9&lt;=90,"61-90","91+")))))</x:f>
        <x:v>31-60</x:v>
      </x:c>
      <x:c r="L9" s="78" t="str">
        <x:v>Yes</x:v>
      </x:c>
      <x:c r="M9" s="34" t="str">
        <x:v>Finance lead</x:v>
      </x:c>
      <x:c r="N9" s="78" t="str">
        <x:v>Reconcile disputed delivery</x:v>
      </x:c>
    </x:row>
    <x:row r="10">
      <x:c r="A10" s="7"/>
      <x:c r="B10" s="7"/>
      <x:c r="C10" s="34" t="str">
        <x:v>INV-26011</x:v>
      </x:c>
      <x:c r="D10" s="78" t="str">
        <x:v>Kifaru Retail</x:v>
      </x:c>
      <x:c r="E10" s="88" t="n">
        <x:v>46174</x:v>
      </x:c>
      <x:c r="F10" s="88" t="n">
        <x:v>46204</x:v>
      </x:c>
      <x:c r="G10" s="37" t="n">
        <x:v>240000</x:v>
      </x:c>
      <x:c r="H10" s="37" t="n">
        <x:v>0</x:v>
      </x:c>
      <x:c r="I10" s="73" t="n">
        <x:f>G10-H10</x:f>
        <x:v>240000</x:v>
      </x:c>
      <x:c r="J10" s="91" t="n">
        <x:f>IF(I10&lt;=0,0,MAX(0,$D$4-F10))</x:f>
        <x:v>85</x:v>
      </x:c>
      <x:c r="K10" s="28" t="str">
        <x:f>IF(I10&lt;=0,"Paid",IF($D$4&lt;F10,"Not due",IF(J10&lt;=30,"1-30",IF(J10&lt;=60,"31-60",IF(J10&lt;=90,"61-90","91+")))))</x:f>
        <x:v>61-90</x:v>
      </x:c>
      <x:c r="L10" s="78" t="str">
        <x:v>No</x:v>
      </x:c>
      <x:c r="M10" s="34" t="str">
        <x:v>Owner</x:v>
      </x:c>
      <x:c r="N10" s="78" t="str">
        <x:v>Escalate and recheck credit limit</x:v>
      </x:c>
    </x:row>
    <x:row r="11">
      <x:c r="A11" s="7"/>
      <x:c r="B11" s="7"/>
      <x:c r="C11" s="34" t="str">
        <x:v>INV-25996</x:v>
      </x:c>
      <x:c r="D11" s="78" t="str">
        <x:v>Mara Foods</x:v>
      </x:c>
      <x:c r="E11" s="88" t="n">
        <x:v>46144</x:v>
      </x:c>
      <x:c r="F11" s="88" t="n">
        <x:v>46174</x:v>
      </x:c>
      <x:c r="G11" s="37" t="n">
        <x:v>510000</x:v>
      </x:c>
      <x:c r="H11" s="37" t="n">
        <x:v>510000</x:v>
      </x:c>
      <x:c r="I11" s="73" t="n">
        <x:f>G11-H11</x:f>
        <x:v>0</x:v>
      </x:c>
      <x:c r="J11" s="91" t="n">
        <x:f>IF(I11&lt;=0,0,MAX(0,$D$4-F11))</x:f>
        <x:v>0</x:v>
      </x:c>
      <x:c r="K11" s="28" t="str">
        <x:f>IF(I11&lt;=0,"Paid",IF($D$4&lt;F11,"Not due",IF(J11&lt;=30,"1-30",IF(J11&lt;=60,"31-60",IF(J11&lt;=90,"61-90","91+")))))</x:f>
        <x:v>Paid</x:v>
      </x:c>
      <x:c r="L11" s="78" t="str">
        <x:v>No</x:v>
      </x:c>
      <x:c r="M11" s="34" t="str">
        <x:v>Finance lead</x:v>
      </x:c>
      <x:c r="N11" s="78" t="str">
        <x:v>Receipt matched</x:v>
      </x:c>
    </x:row>
    <x:row r="12">
      <x:c r="A12" s="7"/>
      <x:c r="B12" s="7"/>
      <x:c r="C12" s="34" t="str">
        <x:v>INV-26088</x:v>
      </x:c>
      <x:c r="D12" s="78" t="str">
        <x:v>Rafiki Stores</x:v>
      </x:c>
      <x:c r="E12" s="88" t="n">
        <x:v>46266</x:v>
      </x:c>
      <x:c r="F12" s="88" t="n">
        <x:v>46285</x:v>
      </x:c>
      <x:c r="G12" s="37" t="n">
        <x:v>400000</x:v>
      </x:c>
      <x:c r="H12" s="37" t="n">
        <x:v>100000</x:v>
      </x:c>
      <x:c r="I12" s="73" t="n">
        <x:f>G12-H12</x:f>
        <x:v>300000</x:v>
      </x:c>
      <x:c r="J12" s="91" t="n">
        <x:f>IF(I12&lt;=0,0,MAX(0,$D$4-F12))</x:f>
        <x:v>4</x:v>
      </x:c>
      <x:c r="K12" s="28" t="str">
        <x:f>IF(I12&lt;=0,"Paid",IF($D$4&lt;F12,"Not due",IF(J12&lt;=30,"1-30",IF(J12&lt;=60,"31-60",IF(J12&lt;=90,"61-90","91+")))))</x:f>
        <x:v>1-30</x:v>
      </x:c>
      <x:c r="L12" s="78" t="str">
        <x:v>No</x:v>
      </x:c>
      <x:c r="M12" s="34" t="str">
        <x:v>Credit lead</x:v>
      </x:c>
      <x:c r="N12" s="78" t="str">
        <x:v>Collect balance this week</x:v>
      </x:c>
    </x:row>
    <x:row r="13">
      <x:c r="A13" s="7"/>
      <x:c r="B13" s="7"/>
      <x:c r="C13" s="35" t="str">
        <x:v>INV-26031</x:v>
      </x:c>
      <x:c r="D13" s="79" t="str">
        <x:v>Nia Pharmacy</x:v>
      </x:c>
      <x:c r="E13" s="89" t="n">
        <x:v>46221</x:v>
      </x:c>
      <x:c r="F13" s="89" t="n">
        <x:v>46251</x:v>
      </x:c>
      <x:c r="G13" s="38" t="n">
        <x:v>300000</x:v>
      </x:c>
      <x:c r="H13" s="38" t="n">
        <x:v>300000</x:v>
      </x:c>
      <x:c r="I13" s="74" t="n">
        <x:f>G13-H13</x:f>
        <x:v>0</x:v>
      </x:c>
      <x:c r="J13" s="92" t="n">
        <x:f>IF(I13&lt;=0,0,MAX(0,$D$4-F13))</x:f>
        <x:v>0</x:v>
      </x:c>
      <x:c r="K13" s="29" t="str">
        <x:f>IF(I13&lt;=0,"Paid",IF($D$4&lt;F13,"Not due",IF(J13&lt;=30,"1-30",IF(J13&lt;=60,"31-60",IF(J13&lt;=90,"61-90","91+")))))</x:f>
        <x:v>Paid</x:v>
      </x:c>
      <x:c r="L13" s="79" t="str">
        <x:v>No</x:v>
      </x:c>
      <x:c r="M13" s="35" t="str">
        <x:v>Finance lead</x:v>
      </x:c>
      <x:c r="N13" s="79" t="str">
        <x:v>Closed after bank match</x:v>
      </x:c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 ht="30" customHeight="1">
      <x:c r="A16" s="7"/>
      <x:c r="B16" s="7"/>
      <x:c r="C16" s="25" t="str">
        <x:v>Ageing band</x:v>
      </x:c>
      <x:c r="D16" s="25" t="str">
        <x:v>Open balance</x:v>
      </x:c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7"/>
      <x:c r="B17" s="7"/>
      <x:c r="C17" s="27" t="str">
        <x:v>Not due</x:v>
      </x:c>
      <x:c r="D17" s="72" t="n">
        <x:f>SUMIF(K6:K13,C17,I6:I13)</x:f>
        <x:v>1200000</x:v>
      </x:c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7"/>
      <x:c r="B18" s="7"/>
      <x:c r="C18" s="28" t="str">
        <x:v>1-30</x:v>
      </x:c>
      <x:c r="D18" s="73" t="n">
        <x:f>SUMIF(K6:K13,C18,I6:I13)</x:f>
        <x:v>1150000</x:v>
      </x:c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7"/>
      <x:c r="B19" s="7"/>
      <x:c r="C19" s="28" t="str">
        <x:v>31-60</x:v>
      </x:c>
      <x:c r="D19" s="73" t="n">
        <x:f>SUMIF(K6:K13,C19,I6:I13)</x:f>
        <x:v>910000</x:v>
      </x:c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7"/>
      <x:c r="B20" s="7"/>
      <x:c r="C20" s="28" t="str">
        <x:v>61-90</x:v>
      </x:c>
      <x:c r="D20" s="73" t="n">
        <x:f>SUMIF(K6:K13,C20,I6:I13)</x:f>
        <x:v>240000</x:v>
      </x:c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7"/>
      <x:c r="B21" s="7"/>
      <x:c r="C21" s="28" t="str">
        <x:v>91+</x:v>
      </x:c>
      <x:c r="D21" s="73" t="n">
        <x:f>SUMIF(K6:K13,C21,I6:I13)</x:f>
        <x:v>0</x:v>
      </x:c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7"/>
      <x:c r="B22" s="7"/>
      <x:c r="C22" s="29" t="str">
        <x:v>Paid</x:v>
      </x:c>
      <x:c r="D22" s="74" t="n">
        <x:f>SUMIF(K6:K13,C22,I6:I13)</x:f>
        <x:v>0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7"/>
      <x:c r="B23" s="7"/>
      <x:c r="C23" s="6"/>
      <x:c r="D23" s="21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7"/>
      <x:c r="B24" s="7"/>
      <x:c r="C24" s="12" t="str">
        <x:v>Total open receivables</x:v>
      </x:c>
      <x:c r="D24" s="96" t="n">
        <x:f>SUM(I6:I13)</x:f>
        <x:v>3500000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7"/>
      <x:c r="B25" s="7"/>
      <x:c r="C25" s="12" t="str">
        <x:v>Total overdue</x:v>
      </x:c>
      <x:c r="D25" s="96" t="n">
        <x:f>SUM(D18:D21)</x:f>
        <x:v>2300000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7"/>
      <x:c r="B26" s="7"/>
      <x:c r="C26" s="12" t="str">
        <x:v>Open disputed balance</x:v>
      </x:c>
      <x:c r="D26" s="96" t="n">
        <x:f>SUMIF(L6:L13,"Yes",I6:I13)</x:f>
        <x:v>290000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7"/>
      <x:c r="B27" s="7"/>
      <x:c r="C27" s="12" t="str">
        <x:v>Invoices with negative balance</x:v>
      </x:c>
      <x:c r="D27" s="97" t="n">
        <x:f>COUNTIF(I6:I13,"&lt;0")</x:f>
        <x:v>0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4" hidden="0" customWidth="1"/>
    <x:col min="4" max="4" width="23" hidden="0" customWidth="1"/>
    <x:col min="5" max="5" width="16" hidden="0" customWidth="1"/>
    <x:col min="6" max="6" width="16" hidden="0" customWidth="1"/>
    <x:col min="7" max="7" width="21" hidden="0" customWidth="1"/>
    <x:col min="8" max="8" width="18" hidden="0" customWidth="1"/>
    <x:col min="9" max="9" width="20" hidden="0" customWidth="1"/>
    <x:col min="10" max="10" width="20" hidden="0" customWidth="1"/>
    <x:col min="11" max="11" width="17" hidden="0" customWidth="1"/>
    <x:col min="12" max="12" width="18" hidden="0" customWidth="1"/>
    <x:col min="13" max="13" width="21" hidden="0" customWidth="1"/>
    <x:col min="14" max="14" width="14" hidden="0" customWidth="1"/>
    <x:col min="15" max="15" width="22" hidden="0" customWidth="1"/>
    <x:col min="16" max="16" width="23" hidden="0" customWidth="1"/>
    <x:col min="17" max="17" width="24" hidden="0" customWidth="1"/>
  </x:cols>
  <x:sheetData>
    <x:row r="1" ht="25" customHeight="1">
      <x:c r="A1" s="7"/>
      <x:c r="B1" s="7"/>
      <x:c r="C1" s="4" t="str">
        <x:v>Inventory ageing and ABC review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7"/>
      <x:c r="B2" s="7"/>
      <x:c r="C2" s="5" t="str">
        <x:v>Fictional SKU data | Sort annual cost usage from highest to lowest before extending the ABC schedule. Reorder points are a review trigger, not an automatic purchase order.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>
      <x:c r="A4" s="7"/>
      <x:c r="B4" s="7"/>
      <x:c r="C4" s="6" t="str">
        <x:v>Ageing as of</x:v>
      </x:c>
      <x:c r="D4" s="86" t="n">
        <x:v>46289</x:v>
      </x:c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30" customHeight="1">
      <x:c r="A5" s="7"/>
      <x:c r="B5" s="7"/>
      <x:c r="C5" s="25" t="str">
        <x:v>SKU</x:v>
      </x:c>
      <x:c r="D5" s="25" t="str">
        <x:v>Description</x:v>
      </x:c>
      <x:c r="E5" s="25" t="str">
        <x:v>Unit cost</x:v>
      </x:c>
      <x:c r="F5" s="25" t="str">
        <x:v>Units on hand</x:v>
      </x:c>
      <x:c r="G5" s="25" t="str">
        <x:v>Average weekly sales</x:v>
      </x:c>
      <x:c r="H5" s="25" t="str">
        <x:v>Lead time (weeks)</x:v>
      </x:c>
      <x:c r="I5" s="25" t="str">
        <x:v>Safety stock (units)</x:v>
      </x:c>
      <x:c r="J5" s="25" t="str">
        <x:v>Annual cost usage</x:v>
      </x:c>
      <x:c r="K5" s="25" t="str">
        <x:v>Last sale date</x:v>
      </x:c>
      <x:c r="L5" s="25" t="str">
        <x:v>Stock value</x:v>
      </x:c>
      <x:c r="M5" s="25" t="str">
        <x:v>Cumulative usage share</x:v>
      </x:c>
      <x:c r="N5" s="25" t="str">
        <x:v>ABC class</x:v>
      </x:c>
      <x:c r="O5" s="25" t="str">
        <x:v>Days since sale</x:v>
      </x:c>
      <x:c r="P5" s="25" t="str">
        <x:v>Reorder point (units)</x:v>
      </x:c>
      <x:c r="Q5" s="25" t="str">
        <x:v>Action</x:v>
      </x:c>
    </x:row>
    <x:row r="6">
      <x:c r="A6" s="7"/>
      <x:c r="B6" s="7"/>
      <x:c r="C6" s="33" t="str">
        <x:v>SKU-01</x:v>
      </x:c>
      <x:c r="D6" s="77" t="str">
        <x:v>Cooking oil 5L</x:v>
      </x:c>
      <x:c r="E6" s="36" t="n">
        <x:v>840</x:v>
      </x:c>
      <x:c r="F6" s="33" t="n">
        <x:v>780</x:v>
      </x:c>
      <x:c r="G6" s="33" t="n">
        <x:v>46</x:v>
      </x:c>
      <x:c r="H6" s="33" t="n">
        <x:v>2</x:v>
      </x:c>
      <x:c r="I6" s="33" t="n">
        <x:v>18</x:v>
      </x:c>
      <x:c r="J6" s="33" t="n">
        <x:v>1200000</x:v>
      </x:c>
      <x:c r="K6" s="87" t="n">
        <x:v>46285</x:v>
      </x:c>
      <x:c r="L6" s="72" t="n">
        <x:f>E6*F6</x:f>
        <x:v>655200</x:v>
      </x:c>
      <x:c r="M6" s="98" t="n">
        <x:f>SUM($J$6:J6)/SUM($J$6:$J$13)</x:f>
        <x:v>0.3</x:v>
      </x:c>
      <x:c r="N6" s="27" t="str">
        <x:f>IF(M6&lt;=0.8,"A",IF(M6&lt;=0.95,"B","C"))</x:f>
        <x:v>A</x:v>
      </x:c>
      <x:c r="O6" s="90" t="n">
        <x:f>MAX(0,$D$4-K6)</x:f>
        <x:v>4</x:v>
      </x:c>
      <x:c r="P6" s="90" t="n">
        <x:f>G6*H6+I6</x:f>
        <x:v>110</x:v>
      </x:c>
      <x:c r="Q6" s="30" t="str">
        <x:f>IF(F6&lt;=P6,"Review reorder",IF(O6&gt;90,"Stop and review aged stock","Monitor"))</x:f>
        <x:v>Monitor</x:v>
      </x:c>
    </x:row>
    <x:row r="7">
      <x:c r="A7" s="7"/>
      <x:c r="B7" s="7"/>
      <x:c r="C7" s="34" t="str">
        <x:v>SKU-02</x:v>
      </x:c>
      <x:c r="D7" s="78" t="str">
        <x:v>Rice 25kg</x:v>
      </x:c>
      <x:c r="E7" s="37" t="n">
        <x:v>2200</x:v>
      </x:c>
      <x:c r="F7" s="34" t="n">
        <x:v>320</x:v>
      </x:c>
      <x:c r="G7" s="34" t="n">
        <x:v>14</x:v>
      </x:c>
      <x:c r="H7" s="34" t="n">
        <x:v>3</x:v>
      </x:c>
      <x:c r="I7" s="34" t="n">
        <x:v>8</x:v>
      </x:c>
      <x:c r="J7" s="34" t="n">
        <x:v>900000</x:v>
      </x:c>
      <x:c r="K7" s="88" t="n">
        <x:v>46286</x:v>
      </x:c>
      <x:c r="L7" s="73" t="n">
        <x:f>E7*F7</x:f>
        <x:v>704000</x:v>
      </x:c>
      <x:c r="M7" s="99" t="n">
        <x:f>SUM($J$6:J7)/SUM($J$6:$J$13)</x:f>
        <x:v>0.525</x:v>
      </x:c>
      <x:c r="N7" s="28" t="str">
        <x:f>IF(M7&lt;=0.8,"A",IF(M7&lt;=0.95,"B","C"))</x:f>
        <x:v>A</x:v>
      </x:c>
      <x:c r="O7" s="91" t="n">
        <x:f>MAX(0,$D$4-K7)</x:f>
        <x:v>3</x:v>
      </x:c>
      <x:c r="P7" s="91" t="n">
        <x:f>G7*H7+I7</x:f>
        <x:v>50</x:v>
      </x:c>
      <x:c r="Q7" s="31" t="str">
        <x:f>IF(F7&lt;=P7,"Review reorder",IF(O7&gt;90,"Stop and review aged stock","Monitor"))</x:f>
        <x:v>Monitor</x:v>
      </x:c>
    </x:row>
    <x:row r="8">
      <x:c r="A8" s="7"/>
      <x:c r="B8" s="7"/>
      <x:c r="C8" s="34" t="str">
        <x:v>SKU-03</x:v>
      </x:c>
      <x:c r="D8" s="78" t="str">
        <x:v>Flour 2kg</x:v>
      </x:c>
      <x:c r="E8" s="37" t="n">
        <x:v>180</x:v>
      </x:c>
      <x:c r="F8" s="34" t="n">
        <x:v>1100</x:v>
      </x:c>
      <x:c r="G8" s="34" t="n">
        <x:v>95</x:v>
      </x:c>
      <x:c r="H8" s="34" t="n">
        <x:v>2</x:v>
      </x:c>
      <x:c r="I8" s="34" t="n">
        <x:v>35</x:v>
      </x:c>
      <x:c r="J8" s="34" t="n">
        <x:v>720000</x:v>
      </x:c>
      <x:c r="K8" s="88" t="n">
        <x:v>46281</x:v>
      </x:c>
      <x:c r="L8" s="73" t="n">
        <x:f>E8*F8</x:f>
        <x:v>198000</x:v>
      </x:c>
      <x:c r="M8" s="99" t="n">
        <x:f>SUM($J$6:J8)/SUM($J$6:$J$13)</x:f>
        <x:v>0.705</x:v>
      </x:c>
      <x:c r="N8" s="28" t="str">
        <x:f>IF(M8&lt;=0.8,"A",IF(M8&lt;=0.95,"B","C"))</x:f>
        <x:v>A</x:v>
      </x:c>
      <x:c r="O8" s="91" t="n">
        <x:f>MAX(0,$D$4-K8)</x:f>
        <x:v>8</x:v>
      </x:c>
      <x:c r="P8" s="91" t="n">
        <x:f>G8*H8+I8</x:f>
        <x:v>225</x:v>
      </x:c>
      <x:c r="Q8" s="31" t="str">
        <x:f>IF(F8&lt;=P8,"Review reorder",IF(O8&gt;90,"Stop and review aged stock","Monitor"))</x:f>
        <x:v>Monitor</x:v>
      </x:c>
    </x:row>
    <x:row r="9">
      <x:c r="A9" s="7"/>
      <x:c r="B9" s="7"/>
      <x:c r="C9" s="34" t="str">
        <x:v>SKU-04</x:v>
      </x:c>
      <x:c r="D9" s="78" t="str">
        <x:v>Cleaning liquid</x:v>
      </x:c>
      <x:c r="E9" s="37" t="n">
        <x:v>430</x:v>
      </x:c>
      <x:c r="F9" s="34" t="n">
        <x:v>290</x:v>
      </x:c>
      <x:c r="G9" s="34" t="n">
        <x:v>8</x:v>
      </x:c>
      <x:c r="H9" s="34" t="n">
        <x:v>4</x:v>
      </x:c>
      <x:c r="I9" s="34" t="n">
        <x:v>12</x:v>
      </x:c>
      <x:c r="J9" s="34" t="n">
        <x:v>430000</x:v>
      </x:c>
      <x:c r="K9" s="88" t="n">
        <x:v>46213</x:v>
      </x:c>
      <x:c r="L9" s="73" t="n">
        <x:f>E9*F9</x:f>
        <x:v>124700</x:v>
      </x:c>
      <x:c r="M9" s="99" t="n">
        <x:f>SUM($J$6:J9)/SUM($J$6:$J$13)</x:f>
        <x:v>0.8125</x:v>
      </x:c>
      <x:c r="N9" s="28" t="str">
        <x:f>IF(M9&lt;=0.8,"A",IF(M9&lt;=0.95,"B","C"))</x:f>
        <x:v>B</x:v>
      </x:c>
      <x:c r="O9" s="91" t="n">
        <x:f>MAX(0,$D$4-K9)</x:f>
        <x:v>76</x:v>
      </x:c>
      <x:c r="P9" s="91" t="n">
        <x:f>G9*H9+I9</x:f>
        <x:v>44</x:v>
      </x:c>
      <x:c r="Q9" s="31" t="str">
        <x:f>IF(F9&lt;=P9,"Review reorder",IF(O9&gt;90,"Stop and review aged stock","Monitor"))</x:f>
        <x:v>Monitor</x:v>
      </x:c>
    </x:row>
    <x:row r="10">
      <x:c r="A10" s="7"/>
      <x:c r="B10" s="7"/>
      <x:c r="C10" s="34" t="str">
        <x:v>SKU-05</x:v>
      </x:c>
      <x:c r="D10" s="78" t="str">
        <x:v>Office paper</x:v>
      </x:c>
      <x:c r="E10" s="37" t="n">
        <x:v>620</x:v>
      </x:c>
      <x:c r="F10" s="34" t="n">
        <x:v>180</x:v>
      </x:c>
      <x:c r="G10" s="34" t="n">
        <x:v>5</x:v>
      </x:c>
      <x:c r="H10" s="34" t="n">
        <x:v>6</x:v>
      </x:c>
      <x:c r="I10" s="34" t="n">
        <x:v>10</x:v>
      </x:c>
      <x:c r="J10" s="34" t="n">
        <x:v>360000</x:v>
      </x:c>
      <x:c r="K10" s="88" t="n">
        <x:v>46228</x:v>
      </x:c>
      <x:c r="L10" s="73" t="n">
        <x:f>E10*F10</x:f>
        <x:v>111600</x:v>
      </x:c>
      <x:c r="M10" s="99" t="n">
        <x:f>SUM($J$6:J10)/SUM($J$6:$J$13)</x:f>
        <x:v>0.9025</x:v>
      </x:c>
      <x:c r="N10" s="28" t="str">
        <x:f>IF(M10&lt;=0.8,"A",IF(M10&lt;=0.95,"B","C"))</x:f>
        <x:v>B</x:v>
      </x:c>
      <x:c r="O10" s="91" t="n">
        <x:f>MAX(0,$D$4-K10)</x:f>
        <x:v>61</x:v>
      </x:c>
      <x:c r="P10" s="91" t="n">
        <x:f>G10*H10+I10</x:f>
        <x:v>40</x:v>
      </x:c>
      <x:c r="Q10" s="31" t="str">
        <x:f>IF(F10&lt;=P10,"Review reorder",IF(O10&gt;90,"Stop and review aged stock","Monitor"))</x:f>
        <x:v>Monitor</x:v>
      </x:c>
    </x:row>
    <x:row r="11">
      <x:c r="A11" s="7"/>
      <x:c r="B11" s="7"/>
      <x:c r="C11" s="34" t="str">
        <x:v>SKU-06</x:v>
      </x:c>
      <x:c r="D11" s="78" t="str">
        <x:v>Seasonal gift pack</x:v>
      </x:c>
      <x:c r="E11" s="37" t="n">
        <x:v>1500</x:v>
      </x:c>
      <x:c r="F11" s="34" t="n">
        <x:v>70</x:v>
      </x:c>
      <x:c r="G11" s="34" t="n">
        <x:v>2</x:v>
      </x:c>
      <x:c r="H11" s="34" t="n">
        <x:v>5</x:v>
      </x:c>
      <x:c r="I11" s="34" t="n">
        <x:v>5</x:v>
      </x:c>
      <x:c r="J11" s="34" t="n">
        <x:v>220000</x:v>
      </x:c>
      <x:c r="K11" s="88" t="n">
        <x:v>46174</x:v>
      </x:c>
      <x:c r="L11" s="73" t="n">
        <x:f>E11*F11</x:f>
        <x:v>105000</x:v>
      </x:c>
      <x:c r="M11" s="99" t="n">
        <x:f>SUM($J$6:J11)/SUM($J$6:$J$13)</x:f>
        <x:v>0.9575</x:v>
      </x:c>
      <x:c r="N11" s="28" t="str">
        <x:f>IF(M11&lt;=0.8,"A",IF(M11&lt;=0.95,"B","C"))</x:f>
        <x:v>C</x:v>
      </x:c>
      <x:c r="O11" s="91" t="n">
        <x:f>MAX(0,$D$4-K11)</x:f>
        <x:v>115</x:v>
      </x:c>
      <x:c r="P11" s="91" t="n">
        <x:f>G11*H11+I11</x:f>
        <x:v>15</x:v>
      </x:c>
      <x:c r="Q11" s="31" t="str">
        <x:f>IF(F11&lt;=P11,"Review reorder",IF(O11&gt;90,"Stop and review aged stock","Monitor"))</x:f>
        <x:v>Stop and review aged stock</x:v>
      </x:c>
    </x:row>
    <x:row r="12">
      <x:c r="A12" s="7"/>
      <x:c r="B12" s="7"/>
      <x:c r="C12" s="34" t="str">
        <x:v>SKU-07</x:v>
      </x:c>
      <x:c r="D12" s="78" t="str">
        <x:v>Spare filter</x:v>
      </x:c>
      <x:c r="E12" s="37" t="n">
        <x:v>950</x:v>
      </x:c>
      <x:c r="F12" s="34" t="n">
        <x:v>42</x:v>
      </x:c>
      <x:c r="G12" s="34" t="n">
        <x:v>1</x:v>
      </x:c>
      <x:c r="H12" s="34" t="n">
        <x:v>8</x:v>
      </x:c>
      <x:c r="I12" s="34" t="n">
        <x:v>3</x:v>
      </x:c>
      <x:c r="J12" s="34" t="n">
        <x:v>120000</x:v>
      </x:c>
      <x:c r="K12" s="88" t="n">
        <x:v>46157</x:v>
      </x:c>
      <x:c r="L12" s="73" t="n">
        <x:f>E12*F12</x:f>
        <x:v>39900</x:v>
      </x:c>
      <x:c r="M12" s="99" t="n">
        <x:f>SUM($J$6:J12)/SUM($J$6:$J$13)</x:f>
        <x:v>0.9875</x:v>
      </x:c>
      <x:c r="N12" s="28" t="str">
        <x:f>IF(M12&lt;=0.8,"A",IF(M12&lt;=0.95,"B","C"))</x:f>
        <x:v>C</x:v>
      </x:c>
      <x:c r="O12" s="91" t="n">
        <x:f>MAX(0,$D$4-K12)</x:f>
        <x:v>132</x:v>
      </x:c>
      <x:c r="P12" s="91" t="n">
        <x:f>G12*H12+I12</x:f>
        <x:v>11</x:v>
      </x:c>
      <x:c r="Q12" s="31" t="str">
        <x:f>IF(F12&lt;=P12,"Review reorder",IF(O12&gt;90,"Stop and review aged stock","Monitor"))</x:f>
        <x:v>Stop and review aged stock</x:v>
      </x:c>
    </x:row>
    <x:row r="13">
      <x:c r="A13" s="7"/>
      <x:c r="B13" s="7"/>
      <x:c r="C13" s="35" t="str">
        <x:v>SKU-08</x:v>
      </x:c>
      <x:c r="D13" s="79" t="str">
        <x:v>Slow accessory</x:v>
      </x:c>
      <x:c r="E13" s="38" t="n">
        <x:v>1300</x:v>
      </x:c>
      <x:c r="F13" s="35" t="n">
        <x:v>24</x:v>
      </x:c>
      <x:c r="G13" s="35" t="n">
        <x:v>0.5</x:v>
      </x:c>
      <x:c r="H13" s="35" t="n">
        <x:v>8</x:v>
      </x:c>
      <x:c r="I13" s="35" t="n">
        <x:v>2</x:v>
      </x:c>
      <x:c r="J13" s="35" t="n">
        <x:v>50000</x:v>
      </x:c>
      <x:c r="K13" s="89" t="n">
        <x:v>46113</x:v>
      </x:c>
      <x:c r="L13" s="74" t="n">
        <x:f>E13*F13</x:f>
        <x:v>31200</x:v>
      </x:c>
      <x:c r="M13" s="100" t="n">
        <x:f>SUM($J$6:J13)/SUM($J$6:$J$13)</x:f>
        <x:v>1</x:v>
      </x:c>
      <x:c r="N13" s="29" t="str">
        <x:f>IF(M13&lt;=0.8,"A",IF(M13&lt;=0.95,"B","C"))</x:f>
        <x:v>C</x:v>
      </x:c>
      <x:c r="O13" s="92" t="n">
        <x:f>MAX(0,$D$4-K13)</x:f>
        <x:v>176</x:v>
      </x:c>
      <x:c r="P13" s="92" t="n">
        <x:f>G13*H13+I13</x:f>
        <x:v>6</x:v>
      </x:c>
      <x:c r="Q13" s="32" t="str">
        <x:f>IF(F13&lt;=P13,"Review reorder",IF(O13&gt;90,"Stop and review aged stock","Monitor"))</x:f>
        <x:v>Stop and review aged stock</x:v>
      </x:c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</x:row>
    <x:row r="16">
      <x:c r="A16" s="7"/>
      <x:c r="B16" s="7"/>
      <x:c r="C16" s="12" t="str">
        <x:v>Stock value at cost</x:v>
      </x:c>
      <x:c r="D16" s="96" t="n">
        <x:f>SUM(L6:L13)</x:f>
        <x:v>1969600</x:v>
      </x:c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</x:row>
    <x:row r="17">
      <x:c r="A17" s="7"/>
      <x:c r="B17" s="7"/>
      <x:c r="C17" s="12" t="str">
        <x:v>Value with no sale in 90+ days</x:v>
      </x:c>
      <x:c r="D17" s="96" t="n">
        <x:f>SUMIF(O6:O13,"&gt;90",L6:L13)</x:f>
        <x:v>176100</x:v>
      </x:c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</x:row>
    <x:row r="18">
      <x:c r="A18" s="7"/>
      <x:c r="B18" s="7"/>
      <x:c r="C18" s="12" t="str">
        <x:v>SKUs below reorder point</x:v>
      </x:c>
      <x:c r="D18" s="97" t="n">
        <x:f>COUNTIF(Q6:Q13,"Review reorder")</x:f>
        <x:v>0</x:v>
      </x:c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</x:row>
    <x:row r="19">
      <x:c r="A19" s="7"/>
      <x:c r="B19" s="7"/>
      <x:c r="C19" s="12" t="str">
        <x:v>ABC method</x:v>
      </x:c>
      <x:c r="D19" s="102" t="str">
        <x:v>Annual cost usage, descending order</x:v>
      </x:c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3" hidden="0" customWidth="1"/>
    <x:col min="4" max="4" width="16" hidden="0" customWidth="1"/>
    <x:col min="5" max="5" width="16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  <x:col min="10" max="10" width="15" hidden="0" customWidth="1"/>
    <x:col min="11" max="11" width="16" hidden="0" customWidth="1"/>
    <x:col min="12" max="12" width="16" hidden="0" customWidth="1"/>
    <x:col min="13" max="13" width="20" hidden="0" customWidth="1"/>
    <x:col min="14" max="14" width="43" hidden="0" customWidth="1"/>
  </x:cols>
  <x:sheetData>
    <x:row r="1" ht="25" customHeight="1">
      <x:c r="A1" s="7"/>
      <x:c r="B1" s="7"/>
      <x:c r="C1" s="4" t="str">
        <x:v>Supplier payables and contractual dates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"/>
      <x:c r="B2" s="7"/>
      <x:c r="C2" s="5" t="str">
        <x:v>Fictional supplier ledger | Contract due dates and agreed terms stay separate from balances already overdue. Payability remains a real obligation.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7"/>
      <x:c r="B4" s="7"/>
      <x:c r="C4" s="6" t="str">
        <x:v>Ageing as of</x:v>
      </x:c>
      <x:c r="D4" s="86" t="n">
        <x:v>46289</x:v>
      </x:c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30" customHeight="1">
      <x:c r="A5" s="7"/>
      <x:c r="B5" s="7"/>
      <x:c r="C5" s="25" t="str">
        <x:v>Supplier</x:v>
      </x:c>
      <x:c r="D5" s="25" t="str">
        <x:v>Invoice</x:v>
      </x:c>
      <x:c r="E5" s="25" t="str">
        <x:v>Invoice date</x:v>
      </x:c>
      <x:c r="F5" s="25" t="str">
        <x:v>Contract due date</x:v>
      </x:c>
      <x:c r="G5" s="25" t="str">
        <x:v>Invoice amount</x:v>
      </x:c>
      <x:c r="H5" s="25" t="str">
        <x:v>Paid</x:v>
      </x:c>
      <x:c r="I5" s="25" t="str">
        <x:v>Open payable</x:v>
      </x:c>
      <x:c r="J5" s="25" t="str">
        <x:v>Days overdue</x:v>
      </x:c>
      <x:c r="K5" s="25" t="str">
        <x:v>Status</x:v>
      </x:c>
      <x:c r="L5" s="25" t="str">
        <x:v>Criticality</x:v>
      </x:c>
      <x:c r="M5" s="25" t="str">
        <x:v>Action owner</x:v>
      </x:c>
      <x:c r="N5" s="25" t="str">
        <x:v>Next action</x:v>
      </x:c>
    </x:row>
    <x:row r="6">
      <x:c r="A6" s="7"/>
      <x:c r="B6" s="7"/>
      <x:c r="C6" s="77" t="str">
        <x:v>Cold-chain Packaging</x:v>
      </x:c>
      <x:c r="D6" s="33" t="str">
        <x:v>AP-881</x:v>
      </x:c>
      <x:c r="E6" s="87" t="n">
        <x:v>46275</x:v>
      </x:c>
      <x:c r="F6" s="87" t="n">
        <x:v>46305</x:v>
      </x:c>
      <x:c r="G6" s="36" t="n">
        <x:v>600000</x:v>
      </x:c>
      <x:c r="H6" s="36" t="n">
        <x:v>0</x:v>
      </x:c>
      <x:c r="I6" s="72" t="n">
        <x:f>G6-H6</x:f>
        <x:v>600000</x:v>
      </x:c>
      <x:c r="J6" s="90" t="n">
        <x:f>IF(I6&lt;=0,0,MAX(0,$D$4-F6))</x:f>
        <x:v>0</x:v>
      </x:c>
      <x:c r="K6" s="27" t="str">
        <x:f>IF(I6&lt;=0,"Paid",IF($D$4&lt;F6,"Not due","Overdue"))</x:f>
        <x:v>Not due</x:v>
      </x:c>
      <x:c r="L6" s="33" t="str">
        <x:v>High</x:v>
      </x:c>
      <x:c r="M6" s="77" t="str">
        <x:v>Finance lead</x:v>
      </x:c>
      <x:c r="N6" s="77" t="str">
        <x:v>Confirm next delivery</x:v>
      </x:c>
    </x:row>
    <x:row r="7">
      <x:c r="A7" s="7"/>
      <x:c r="B7" s="7"/>
      <x:c r="C7" s="78" t="str">
        <x:v>Produce East</x:v>
      </x:c>
      <x:c r="D7" s="34" t="str">
        <x:v>AP-862</x:v>
      </x:c>
      <x:c r="E7" s="88" t="n">
        <x:v>46244</x:v>
      </x:c>
      <x:c r="F7" s="88" t="n">
        <x:v>46275</x:v>
      </x:c>
      <x:c r="G7" s="37" t="n">
        <x:v>720000</x:v>
      </x:c>
      <x:c r="H7" s="37" t="n">
        <x:v>0</x:v>
      </x:c>
      <x:c r="I7" s="73" t="n">
        <x:f>G7-H7</x:f>
        <x:v>720000</x:v>
      </x:c>
      <x:c r="J7" s="91" t="n">
        <x:f>IF(I7&lt;=0,0,MAX(0,$D$4-F7))</x:f>
        <x:v>14</x:v>
      </x:c>
      <x:c r="K7" s="28" t="str">
        <x:f>IF(I7&lt;=0,"Paid",IF($D$4&lt;F7,"Not due","Overdue"))</x:f>
        <x:v>Overdue</x:v>
      </x:c>
      <x:c r="L7" s="34" t="str">
        <x:v>High</x:v>
      </x:c>
      <x:c r="M7" s="78" t="str">
        <x:v>Owner</x:v>
      </x:c>
      <x:c r="N7" s="78" t="str">
        <x:v>Agree dated plan before order</x:v>
      </x:c>
    </x:row>
    <x:row r="8">
      <x:c r="A8" s="7"/>
      <x:c r="B8" s="7"/>
      <x:c r="C8" s="78" t="str">
        <x:v>Fuel Service</x:v>
      </x:c>
      <x:c r="D8" s="34" t="str">
        <x:v>AP-870</x:v>
      </x:c>
      <x:c r="E8" s="88" t="n">
        <x:v>46266</x:v>
      </x:c>
      <x:c r="F8" s="88" t="n">
        <x:v>46283</x:v>
      </x:c>
      <x:c r="G8" s="37" t="n">
        <x:v>440000</x:v>
      </x:c>
      <x:c r="H8" s="37" t="n">
        <x:v>0</x:v>
      </x:c>
      <x:c r="I8" s="73" t="n">
        <x:f>G8-H8</x:f>
        <x:v>440000</x:v>
      </x:c>
      <x:c r="J8" s="91" t="n">
        <x:f>IF(I8&lt;=0,0,MAX(0,$D$4-F8))</x:f>
        <x:v>6</x:v>
      </x:c>
      <x:c r="K8" s="28" t="str">
        <x:f>IF(I8&lt;=0,"Paid",IF($D$4&lt;F8,"Not due","Overdue"))</x:f>
        <x:v>Overdue</x:v>
      </x:c>
      <x:c r="L8" s="34" t="str">
        <x:v>High</x:v>
      </x:c>
      <x:c r="M8" s="78" t="str">
        <x:v>Operations</x:v>
      </x:c>
      <x:c r="N8" s="78" t="str">
        <x:v>Protect delivery route</x:v>
      </x:c>
    </x:row>
    <x:row r="9">
      <x:c r="A9" s="7"/>
      <x:c r="B9" s="7"/>
      <x:c r="C9" s="78" t="str">
        <x:v>Telecom Provider</x:v>
      </x:c>
      <x:c r="D9" s="34" t="str">
        <x:v>AP-884</x:v>
      </x:c>
      <x:c r="E9" s="88" t="n">
        <x:v>46266</x:v>
      </x:c>
      <x:c r="F9" s="88" t="n">
        <x:v>46296</x:v>
      </x:c>
      <x:c r="G9" s="37" t="n">
        <x:v>310000</x:v>
      </x:c>
      <x:c r="H9" s="37" t="n">
        <x:v>0</x:v>
      </x:c>
      <x:c r="I9" s="73" t="n">
        <x:f>G9-H9</x:f>
        <x:v>310000</x:v>
      </x:c>
      <x:c r="J9" s="91" t="n">
        <x:f>IF(I9&lt;=0,0,MAX(0,$D$4-F9))</x:f>
        <x:v>0</x:v>
      </x:c>
      <x:c r="K9" s="28" t="str">
        <x:f>IF(I9&lt;=0,"Paid",IF($D$4&lt;F9,"Not due","Overdue"))</x:f>
        <x:v>Not due</x:v>
      </x:c>
      <x:c r="L9" s="34" t="str">
        <x:v>Medium</x:v>
      </x:c>
      <x:c r="M9" s="78" t="str">
        <x:v>Finance lead</x:v>
      </x:c>
      <x:c r="N9" s="78" t="str">
        <x:v>Schedule to due date</x:v>
      </x:c>
    </x:row>
    <x:row r="10">
      <x:c r="A10" s="7"/>
      <x:c r="B10" s="7"/>
      <x:c r="C10" s="78" t="str">
        <x:v>Cold-room Service</x:v>
      </x:c>
      <x:c r="D10" s="34" t="str">
        <x:v>AP-833</x:v>
      </x:c>
      <x:c r="E10" s="88" t="n">
        <x:v>46235</x:v>
      </x:c>
      <x:c r="F10" s="88" t="n">
        <x:v>46266</x:v>
      </x:c>
      <x:c r="G10" s="37" t="n">
        <x:v>180000</x:v>
      </x:c>
      <x:c r="H10" s="37" t="n">
        <x:v>0</x:v>
      </x:c>
      <x:c r="I10" s="73" t="n">
        <x:f>G10-H10</x:f>
        <x:v>180000</x:v>
      </x:c>
      <x:c r="J10" s="91" t="n">
        <x:f>IF(I10&lt;=0,0,MAX(0,$D$4-F10))</x:f>
        <x:v>23</x:v>
      </x:c>
      <x:c r="K10" s="28" t="str">
        <x:f>IF(I10&lt;=0,"Paid",IF($D$4&lt;F10,"Not due","Overdue"))</x:f>
        <x:v>Overdue</x:v>
      </x:c>
      <x:c r="L10" s="34" t="str">
        <x:v>Critical</x:v>
      </x:c>
      <x:c r="M10" s="78" t="str">
        <x:v>Facilities</x:v>
      </x:c>
      <x:c r="N10" s="78" t="str">
        <x:v>Resolve before service visit</x:v>
      </x:c>
    </x:row>
    <x:row r="11">
      <x:c r="A11" s="7"/>
      <x:c r="B11" s="7"/>
      <x:c r="C11" s="78" t="str">
        <x:v>Logistics Partner</x:v>
      </x:c>
      <x:c r="D11" s="34" t="str">
        <x:v>AP-814</x:v>
      </x:c>
      <x:c r="E11" s="88" t="n">
        <x:v>46208</x:v>
      </x:c>
      <x:c r="F11" s="88" t="n">
        <x:v>46239</x:v>
      </x:c>
      <x:c r="G11" s="37" t="n">
        <x:v>530000</x:v>
      </x:c>
      <x:c r="H11" s="37" t="n">
        <x:v>100000</x:v>
      </x:c>
      <x:c r="I11" s="73" t="n">
        <x:f>G11-H11</x:f>
        <x:v>430000</x:v>
      </x:c>
      <x:c r="J11" s="91" t="n">
        <x:f>IF(I11&lt;=0,0,MAX(0,$D$4-F11))</x:f>
        <x:v>50</x:v>
      </x:c>
      <x:c r="K11" s="28" t="str">
        <x:f>IF(I11&lt;=0,"Paid",IF($D$4&lt;F11,"Not due","Overdue"))</x:f>
        <x:v>Overdue</x:v>
      </x:c>
      <x:c r="L11" s="34" t="str">
        <x:v>High</x:v>
      </x:c>
      <x:c r="M11" s="78" t="str">
        <x:v>Owner</x:v>
      </x:c>
      <x:c r="N11" s="78" t="str">
        <x:v>Reconcile disputed delivery and dates</x:v>
      </x:c>
    </x:row>
    <x:row r="12">
      <x:c r="A12" s="7"/>
      <x:c r="B12" s="7"/>
      <x:c r="C12" s="78" t="str">
        <x:v>Temporary Staff</x:v>
      </x:c>
      <x:c r="D12" s="34" t="str">
        <x:v>AP-885</x:v>
      </x:c>
      <x:c r="E12" s="88" t="n">
        <x:v>46266</x:v>
      </x:c>
      <x:c r="F12" s="88" t="n">
        <x:v>46290</x:v>
      </x:c>
      <x:c r="G12" s="37" t="n">
        <x:v>210000</x:v>
      </x:c>
      <x:c r="H12" s="37" t="n">
        <x:v>0</x:v>
      </x:c>
      <x:c r="I12" s="73" t="n">
        <x:f>G12-H12</x:f>
        <x:v>210000</x:v>
      </x:c>
      <x:c r="J12" s="91" t="n">
        <x:f>IF(I12&lt;=0,0,MAX(0,$D$4-F12))</x:f>
        <x:v>0</x:v>
      </x:c>
      <x:c r="K12" s="28" t="str">
        <x:f>IF(I12&lt;=0,"Paid",IF($D$4&lt;F12,"Not due","Overdue"))</x:f>
        <x:v>Not due</x:v>
      </x:c>
      <x:c r="L12" s="34" t="str">
        <x:v>Critical</x:v>
      </x:c>
      <x:c r="M12" s="78" t="str">
        <x:v>HR lead</x:v>
      </x:c>
      <x:c r="N12" s="78" t="str">
        <x:v>Confirm payroll provision</x:v>
      </x:c>
    </x:row>
    <x:row r="13">
      <x:c r="A13" s="7"/>
      <x:c r="B13" s="7"/>
      <x:c r="C13" s="79" t="str">
        <x:v>Repair Parts</x:v>
      </x:c>
      <x:c r="D13" s="35" t="str">
        <x:v>AP-811</x:v>
      </x:c>
      <x:c r="E13" s="89" t="n">
        <x:v>46228</x:v>
      </x:c>
      <x:c r="F13" s="89" t="n">
        <x:v>46259</x:v>
      </x:c>
      <x:c r="G13" s="38" t="n">
        <x:v>350000</x:v>
      </x:c>
      <x:c r="H13" s="38" t="n">
        <x:v>350000</x:v>
      </x:c>
      <x:c r="I13" s="74" t="n">
        <x:f>G13-H13</x:f>
        <x:v>0</x:v>
      </x:c>
      <x:c r="J13" s="92" t="n">
        <x:f>IF(I13&lt;=0,0,MAX(0,$D$4-F13))</x:f>
        <x:v>0</x:v>
      </x:c>
      <x:c r="K13" s="29" t="str">
        <x:f>IF(I13&lt;=0,"Paid",IF($D$4&lt;F13,"Not due","Overdue"))</x:f>
        <x:v>Paid</x:v>
      </x:c>
      <x:c r="L13" s="35" t="str">
        <x:v>Medium</x:v>
      </x:c>
      <x:c r="M13" s="79" t="str">
        <x:v>Finance lead</x:v>
      </x:c>
      <x:c r="N13" s="79" t="str">
        <x:v>Receipt matched</x:v>
      </x:c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>
      <x:c r="A16" s="7"/>
      <x:c r="B16" s="7"/>
      <x:c r="C16" s="12" t="str">
        <x:v>Overdue supplier balances</x:v>
      </x:c>
      <x:c r="D16" s="96" t="n">
        <x:f>SUMIF(K6:K13,"Overdue",I6:I13)</x:f>
        <x:v>1770000</x:v>
      </x:c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>
      <x:c r="A17" s="7"/>
      <x:c r="B17" s="7"/>
      <x:c r="C17" s="12" t="str">
        <x:v>Critical supplier balances overdue</x:v>
      </x:c>
      <x:c r="D17" s="96" t="n">
        <x:f>SUMIFS(I6:I13,L6:L13,"Critical",K6:K13,"Overdue")</x:f>
        <x:v>180000</x:v>
      </x:c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7"/>
      <x:c r="B18" s="7"/>
      <x:c r="C18" s="12" t="str">
        <x:v>Amounts due within seven days</x:v>
      </x:c>
      <x:c r="D18" s="96" t="n">
        <x:f>SUMIFS(I6:I13,F6:F13,"&gt;="&amp;$D$4,F6:F13,"&lt;="&amp;$D$4+7)</x:f>
        <x:v>520000</x:v>
      </x:c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7"/>
      <x:c r="B19" s="7"/>
      <x:c r="C19" s="12" t="str">
        <x:v>Negative open balances</x:v>
      </x:c>
      <x:c r="D19" s="97" t="n">
        <x:f>COUNTIF(I6:I13,"&lt;0")</x:f>
        <x:v>0</x:v>
      </x:c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6" hidden="0" customWidth="1"/>
    <x:col min="4" max="4" width="21" hidden="0" customWidth="1"/>
    <x:col min="5" max="5" width="29" hidden="0" customWidth="1"/>
    <x:col min="6" max="6" width="55" hidden="0" customWidth="1"/>
    <x:col min="7" max="7" width="20" hidden="0" customWidth="1"/>
    <x:col min="8" max="8" width="16" hidden="0" customWidth="1"/>
    <x:col min="9" max="9" width="18" hidden="0" customWidth="1"/>
    <x:col min="10" max="10" width="35" hidden="0" customWidth="1"/>
    <x:col min="11" max="11" width="42" hidden="0" customWidth="1"/>
  </x:cols>
  <x:sheetData>
    <x:row r="1" ht="25" customHeight="1">
      <x:c r="A1" s="7"/>
      <x:c r="B1" s="7"/>
      <x:c r="C1" s="4" t="str">
        <x:v>Weekly cash and operating actions</x:v>
      </x:c>
      <x:c r="D1" s="4"/>
      <x:c r="E1" s="4"/>
      <x:c r="F1" s="4"/>
      <x:c r="G1" s="4"/>
      <x:c r="H1" s="4"/>
      <x:c r="I1" s="4"/>
      <x:c r="J1" s="4"/>
      <x:c r="K1" s="4"/>
    </x:row>
    <x:row r="2">
      <x:c r="A2" s="7"/>
      <x:c r="B2" s="7"/>
      <x:c r="C2" s="5" t="str">
        <x:v>Example actions are prompts, not universal thresholds. Record the dated evidence, cash or margin effect, owner, deadline and outcome.</x:v>
      </x:c>
      <x:c r="D2" s="5"/>
      <x:c r="E2" s="5"/>
      <x:c r="F2" s="5"/>
      <x:c r="G2" s="5"/>
      <x:c r="H2" s="5"/>
      <x:c r="I2" s="5"/>
      <x:c r="J2" s="5"/>
      <x:c r="K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</x:row>
    <x:row r="5" ht="30" customHeight="1">
      <x:c r="A5" s="7"/>
      <x:c r="B5" s="7"/>
      <x:c r="C5" s="25" t="str">
        <x:v>Logged date</x:v>
      </x:c>
      <x:c r="D5" s="25" t="str">
        <x:v>Issue</x:v>
      </x:c>
      <x:c r="E5" s="25" t="str">
        <x:v>Evidence / record</x:v>
      </x:c>
      <x:c r="F5" s="25" t="str">
        <x:v>Cash, margin or relationship effect</x:v>
      </x:c>
      <x:c r="G5" s="25" t="str">
        <x:v>Owner</x:v>
      </x:c>
      <x:c r="H5" s="25" t="str">
        <x:v>Due date</x:v>
      </x:c>
      <x:c r="I5" s="25" t="str">
        <x:v>Status</x:v>
      </x:c>
      <x:c r="J5" s="25" t="str">
        <x:v>Actual outcome</x:v>
      </x:c>
      <x:c r="K5" s="25" t="str">
        <x:v>Next action</x:v>
      </x:c>
    </x:row>
    <x:row r="6">
      <x:c r="A6" s="7"/>
      <x:c r="B6" s="7"/>
      <x:c r="C6" s="87" t="n">
        <x:v>46289</x:v>
      </x:c>
      <x:c r="D6" s="77" t="str">
        <x:v>Collections</x:v>
      </x:c>
      <x:c r="E6" s="77" t="str">
        <x:v>INV-26074 and INV-26056</x:v>
      </x:c>
      <x:c r="F6" s="77" t="str">
        <x:v>850,000 KES requested by date; no receipt assumed until bank match</x:v>
      </x:c>
      <x:c r="G6" s="33" t="str">
        <x:v>Credit lead</x:v>
      </x:c>
      <x:c r="H6" s="87" t="n">
        <x:v>46290</x:v>
      </x:c>
      <x:c r="I6" s="33" t="str">
        <x:v>Open</x:v>
      </x:c>
      <x:c r="J6" s="77"/>
      <x:c r="K6" s="77" t="str">
        <x:v>Call buyer and confirm acceptance</x:v>
      </x:c>
    </x:row>
    <x:row r="7">
      <x:c r="A7" s="7"/>
      <x:c r="B7" s="7"/>
      <x:c r="C7" s="88" t="n">
        <x:v>46289</x:v>
      </x:c>
      <x:c r="D7" s="78" t="str">
        <x:v>Supplier terms</x:v>
      </x:c>
      <x:c r="E7" s="78" t="str">
        <x:v>AP-833 critical cold-room service</x:v>
      </x:c>
      <x:c r="F7" s="78" t="str">
        <x:v>KES 180,000 overdue; service interruption risk</x:v>
      </x:c>
      <x:c r="G7" s="34" t="str">
        <x:v>Facilities</x:v>
      </x:c>
      <x:c r="H7" s="88" t="n">
        <x:v>46289</x:v>
      </x:c>
      <x:c r="I7" s="34" t="str">
        <x:v>Open</x:v>
      </x:c>
      <x:c r="J7" s="78"/>
      <x:c r="K7" s="78" t="str">
        <x:v>Agree payment or written service plan</x:v>
      </x:c>
    </x:row>
    <x:row r="8">
      <x:c r="A8" s="7"/>
      <x:c r="B8" s="7"/>
      <x:c r="C8" s="88" t="n">
        <x:v>46289</x:v>
      </x:c>
      <x:c r="D8" s="78" t="str">
        <x:v>Stock</x:v>
      </x:c>
      <x:c r="E8" s="78" t="str">
        <x:v>SKU-06 seasonal gift pack</x:v>
      </x:c>
      <x:c r="F8" s="78" t="str">
        <x:v>KES 105,000 at cost; last sale 115 days ago</x:v>
      </x:c>
      <x:c r="G8" s="34" t="str">
        <x:v>Merchandising</x:v>
      </x:c>
      <x:c r="H8" s="88" t="n">
        <x:v>46291</x:v>
      </x:c>
      <x:c r="I8" s="34" t="str">
        <x:v>Open</x:v>
      </x:c>
      <x:c r="J8" s="78"/>
      <x:c r="K8" s="78" t="str">
        <x:v>Stop reorder; test return or markdown</x:v>
      </x:c>
    </x:row>
    <x:row r="9">
      <x:c r="A9" s="7"/>
      <x:c r="B9" s="7"/>
      <x:c r="C9" s="89" t="n">
        <x:v>46289</x:v>
      </x:c>
      <x:c r="D9" s="79" t="str">
        <x:v>Cash floor</x:v>
      </x:c>
      <x:c r="E9" s="79" t="str">
        <x:v>13-week low cash</x:v>
      </x:c>
      <x:c r="F9" s="79" t="str">
        <x:v>Use Cash13W D20 and reserve floor before approving owner draw</x:v>
      </x:c>
      <x:c r="G9" s="35" t="str">
        <x:v>Finance lead</x:v>
      </x:c>
      <x:c r="H9" s="89" t="n">
        <x:v>46290</x:v>
      </x:c>
      <x:c r="I9" s="35" t="str">
        <x:v>Open</x:v>
      </x:c>
      <x:c r="J9" s="79"/>
      <x:c r="K9" s="79" t="str">
        <x:v>Re-date top receipts and mandatory outflows</x:v>
      </x:c>
    </x:row>
    <x:row r="10">
      <x:c r="A10" s="7"/>
      <x:c r="B10" s="7"/>
      <x:c r="C10" s="6"/>
      <x:c r="D10" s="6"/>
      <x:c r="E10" s="6"/>
      <x:c r="F10" s="6"/>
      <x:c r="G10" s="6"/>
      <x:c r="H10" s="6"/>
      <x:c r="I10" s="6"/>
      <x:c r="J10" s="6"/>
      <x:c r="K10" s="6"/>
    </x:row>
    <x:row r="11">
      <x:c r="A11" s="7"/>
      <x:c r="B11" s="7"/>
      <x:c r="C11" s="6"/>
      <x:c r="D11" s="6"/>
      <x:c r="E11" s="6"/>
      <x:c r="F11" s="6"/>
      <x:c r="G11" s="6"/>
      <x:c r="H11" s="6"/>
      <x:c r="I11" s="6"/>
      <x:c r="J11" s="6"/>
      <x:c r="K11" s="6"/>
    </x:row>
    <x:row r="12">
      <x:c r="A12" s="7"/>
      <x:c r="B12" s="7"/>
      <x:c r="C12" s="103" t="str">
        <x:v>Update after each weekly cash meeting. Preserve the forecast version and the actual bank result so the next forecast can be compared with what happened.</x:v>
      </x:c>
      <x:c r="D12" s="6"/>
      <x:c r="E12" s="6"/>
      <x:c r="F12" s="6"/>
      <x:c r="G12" s="6"/>
      <x:c r="H12" s="6"/>
      <x:c r="I12" s="6"/>
      <x:c r="J12" s="6"/>
      <x:c r="K12" s="6"/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  <x:c r="K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  <x:c r="J16" s="6"/>
      <x:c r="K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  <x:c r="J17" s="6"/>
      <x:c r="K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  <x:c r="J18" s="6"/>
      <x:c r="K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6" hidden="0" customWidth="1"/>
    <x:col min="4" max="4" width="15" hidden="0" customWidth="1"/>
    <x:col min="5" max="5" width="17" hidden="0" customWidth="1"/>
    <x:col min="6" max="6" width="16" hidden="0" customWidth="1"/>
    <x:col min="7" max="7" width="18" hidden="0" customWidth="1"/>
    <x:col min="8" max="8" width="21" hidden="0" customWidth="1"/>
    <x:col min="9" max="9" width="17" hidden="0" customWidth="1"/>
    <x:col min="10" max="10" width="23" hidden="0" customWidth="1"/>
    <x:col min="11" max="11" width="23" hidden="0" customWidth="1"/>
    <x:col min="12" max="12" width="20" hidden="0" customWidth="1"/>
  </x:cols>
  <x:sheetData>
    <x:row r="1" ht="25" customHeight="1">
      <x:c r="A1" s="7"/>
      <x:c r="B1" s="7"/>
      <x:c r="C1" s="4" t="str">
        <x:v>Contribution and break-even</x:v>
      </x:c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/>
      <x:c r="B2" s="7"/>
      <x:c r="C2" s="5" t="str">
        <x:v>Fictional order examples | Contribution is not net income. Add central staff, taxes, maintenance, financing and working capital before owner decisions.</x:v>
      </x:c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30" customHeight="1">
      <x:c r="A5" s="7"/>
      <x:c r="B5" s="7"/>
      <x:c r="C5" s="25" t="str">
        <x:v>Offer / unit</x:v>
      </x:c>
      <x:c r="D5" s="25" t="str">
        <x:v>Monthly units</x:v>
      </x:c>
      <x:c r="E5" s="25" t="str">
        <x:v>Price per unit</x:v>
      </x:c>
      <x:c r="F5" s="25" t="str">
        <x:v>Product cost</x:v>
      </x:c>
      <x:c r="G5" s="25" t="str">
        <x:v>Fulfilment cost</x:v>
      </x:c>
      <x:c r="H5" s="25" t="str">
        <x:v>Contribution / unit</x:v>
      </x:c>
      <x:c r="I5" s="25" t="str">
        <x:v>Contribution %</x:v>
      </x:c>
      <x:c r="J5" s="25" t="str">
        <x:v>Monthly contribution</x:v>
      </x:c>
      <x:c r="K5" s="25" t="str">
        <x:v>Allocated fixed cost</x:v>
      </x:c>
      <x:c r="L5" s="25" t="str">
        <x:v>Break-even units</x:v>
      </x:c>
    </x:row>
    <x:row r="6">
      <x:c r="A6" s="7"/>
      <x:c r="B6" s="7"/>
      <x:c r="C6" s="27" t="str">
        <x:v>Standard delivery</x:v>
      </x:c>
      <x:c r="D6" s="33" t="n">
        <x:v>900</x:v>
      </x:c>
      <x:c r="E6" s="36" t="n">
        <x:v>4500</x:v>
      </x:c>
      <x:c r="F6" s="36" t="n">
        <x:v>3060</x:v>
      </x:c>
      <x:c r="G6" s="36" t="n">
        <x:v>540</x:v>
      </x:c>
      <x:c r="H6" s="36" t="n">
        <x:f>E6-F6-G6</x:f>
        <x:v>900</x:v>
      </x:c>
      <x:c r="I6" s="98" t="n">
        <x:f>IF(E6=0,"",H6/E6)</x:f>
        <x:v>0.2</x:v>
      </x:c>
      <x:c r="J6" s="72" t="n">
        <x:f>D6*H6</x:f>
        <x:v>810000</x:v>
      </x:c>
      <x:c r="K6" s="36" t="n">
        <x:v>1200000</x:v>
      </x:c>
      <x:c r="L6" s="104" t="n">
        <x:f>IF(H6&lt;=0,"",K6/H6)</x:f>
        <x:v>1333.3333333333333</x:v>
      </x:c>
    </x:row>
    <x:row r="7">
      <x:c r="A7" s="7"/>
      <x:c r="B7" s="7"/>
      <x:c r="C7" s="29" t="str">
        <x:v>Express delivery</x:v>
      </x:c>
      <x:c r="D7" s="35" t="n">
        <x:v>280</x:v>
      </x:c>
      <x:c r="E7" s="38" t="n">
        <x:v>6500</x:v>
      </x:c>
      <x:c r="F7" s="38" t="n">
        <x:v>4100</x:v>
      </x:c>
      <x:c r="G7" s="38" t="n">
        <x:v>1000</x:v>
      </x:c>
      <x:c r="H7" s="38" t="n">
        <x:f>E7-F7-G7</x:f>
        <x:v>1400</x:v>
      </x:c>
      <x:c r="I7" s="100" t="n">
        <x:f>IF(E7=0,"",H7/E7)</x:f>
        <x:v>0.2153846153846154</x:v>
      </x:c>
      <x:c r="J7" s="74" t="n">
        <x:f>D7*H7</x:f>
        <x:v>392000</x:v>
      </x:c>
      <x:c r="K7" s="38" t="n">
        <x:v>700000</x:v>
      </x:c>
      <x:c r="L7" s="105" t="n">
        <x:f>IF(H7&lt;=0,"",K7/H7)</x:f>
        <x:v>500</x:v>
      </x:c>
    </x:row>
    <x:row r="8">
      <x:c r="A8" s="7"/>
      <x:c r="B8" s="7"/>
      <x:c r="C8" s="6"/>
      <x:c r="D8" s="6"/>
      <x:c r="E8" s="6"/>
      <x:c r="F8" s="6"/>
      <x:c r="G8" s="6"/>
      <x:c r="H8" s="6"/>
      <x:c r="I8" s="6"/>
      <x:c r="J8" s="6"/>
      <x:c r="K8" s="6"/>
      <x:c r="L8" s="6"/>
    </x:row>
    <x:row r="9">
      <x:c r="A9" s="7"/>
      <x:c r="B9" s="7"/>
      <x:c r="C9" s="6"/>
      <x:c r="D9" s="6"/>
      <x:c r="E9" s="6"/>
      <x:c r="F9" s="6"/>
      <x:c r="G9" s="6"/>
      <x:c r="H9" s="6"/>
      <x:c r="I9" s="6"/>
      <x:c r="J9" s="6"/>
      <x:c r="K9" s="6"/>
      <x:c r="L9" s="6"/>
    </x:row>
    <x:row r="10">
      <x:c r="A10" s="7"/>
      <x:c r="B10" s="7"/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>
      <x:c r="A11" s="7"/>
      <x:c r="B11" s="7"/>
      <x:c r="C11" s="6"/>
      <x:c r="D11" s="6"/>
      <x:c r="E11" s="6"/>
      <x:c r="F11" s="6"/>
      <x:c r="G11" s="6"/>
      <x:c r="H11" s="6"/>
      <x:c r="I11" s="6"/>
      <x:c r="J11" s="6"/>
      <x:c r="K11" s="6"/>
      <x:c r="L11" s="6"/>
    </x:row>
    <x:row r="12">
      <x:c r="A12" s="7"/>
      <x:c r="B12" s="7"/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  <x:c r="K15" s="6"/>
      <x:c r="L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  <x:c r="J16" s="6"/>
      <x:c r="K16" s="6"/>
      <x:c r="L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  <x:c r="J17" s="6"/>
      <x:c r="K17" s="6"/>
      <x:c r="L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  <x:c r="J18" s="6"/>
      <x:c r="K18" s="6"/>
      <x:c r="L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  <x:c r="L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3" hidden="0" customWidth="1"/>
    <x:col min="4" max="4" width="18" hidden="0" customWidth="1"/>
    <x:col min="5" max="5" width="15" hidden="0" customWidth="1"/>
    <x:col min="6" max="6" width="15" hidden="0" customWidth="1"/>
    <x:col min="7" max="7" width="16" hidden="0" customWidth="1"/>
    <x:col min="8" max="8" width="19" hidden="0" customWidth="1"/>
    <x:col min="9" max="9" width="17" hidden="0" customWidth="1"/>
    <x:col min="10" max="10" width="44" hidden="0" customWidth="1"/>
  </x:cols>
  <x:sheetData>
    <x:row r="1" ht="25" customHeight="1">
      <x:c r="A1" s="7"/>
      <x:c r="B1" s="7"/>
      <x:c r="C1" s="4" t="str">
        <x:v>Debt, reserve and project comparison</x:v>
      </x:c>
      <x:c r="D1" s="4"/>
      <x:c r="E1" s="4"/>
      <x:c r="F1" s="4"/>
      <x:c r="G1" s="4"/>
      <x:c r="H1" s="4"/>
      <x:c r="I1" s="4"/>
      <x:c r="J1" s="4"/>
    </x:row>
    <x:row r="2">
      <x:c r="A2" s="7"/>
      <x:c r="B2" s="7"/>
      <x:c r="C2" s="5" t="str">
        <x:v>Illustrative first-year cost screen | This is not a lender quote, legal solvency calculation or full amortization schedule.</x:v>
      </x:c>
      <x:c r="D2" s="5"/>
      <x:c r="E2" s="5"/>
      <x:c r="F2" s="5"/>
      <x:c r="G2" s="5"/>
      <x:c r="H2" s="5"/>
      <x:c r="I2" s="5"/>
      <x:c r="J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</x:row>
    <x:row r="5" ht="30" customHeight="1">
      <x:c r="A5" s="7"/>
      <x:c r="B5" s="7"/>
      <x:c r="C5" s="25" t="str">
        <x:v>Funding option</x:v>
      </x:c>
      <x:c r="D5" s="25" t="str">
        <x:v>Amount</x:v>
      </x:c>
      <x:c r="E5" s="25" t="str">
        <x:v>Annual rate</x:v>
      </x:c>
      <x:c r="F5" s="25" t="str">
        <x:v>Upfront fee</x:v>
      </x:c>
      <x:c r="G5" s="25" t="str">
        <x:v>Tenor (years)</x:v>
      </x:c>
      <x:c r="H5" s="25" t="str">
        <x:v>Year-one interest</x:v>
      </x:c>
      <x:c r="I5" s="25" t="str">
        <x:v>Year-one fee</x:v>
      </x:c>
      <x:c r="J5" s="25" t="str">
        <x:v>Cash-use / matching test</x:v>
      </x:c>
    </x:row>
    <x:row r="6">
      <x:c r="A6" s="7"/>
      <x:c r="B6" s="7"/>
      <x:c r="C6" s="30" t="str">
        <x:v>Term loan</x:v>
      </x:c>
      <x:c r="D6" s="33" t="n">
        <x:v>5000000</x:v>
      </x:c>
      <x:c r="E6" s="36" t="n">
        <x:v>0.16</x:v>
      </x:c>
      <x:c r="F6" s="106" t="n">
        <x:v>0.02</x:v>
      </x:c>
      <x:c r="G6" s="106" t="n">
        <x:v>3</x:v>
      </x:c>
      <x:c r="H6" s="36" t="n">
        <x:f>D6*E6</x:f>
        <x:v>800000</x:v>
      </x:c>
      <x:c r="I6" s="72" t="n">
        <x:f>D6*F6</x:f>
        <x:v>100000</x:v>
      </x:c>
      <x:c r="J6" s="30" t="str">
        <x:v>Asset with multi-year life</x:v>
      </x:c>
    </x:row>
    <x:row r="7">
      <x:c r="A7" s="7"/>
      <x:c r="B7" s="7"/>
      <x:c r="C7" s="31" t="str">
        <x:v>Revolving facility</x:v>
      </x:c>
      <x:c r="D7" s="34" t="n">
        <x:v>3000000</x:v>
      </x:c>
      <x:c r="E7" s="37" t="n">
        <x:v>0.19</x:v>
      </x:c>
      <x:c r="F7" s="107" t="n">
        <x:v>0.015</x:v>
      </x:c>
      <x:c r="G7" s="107" t="n">
        <x:v>1</x:v>
      </x:c>
      <x:c r="H7" s="37" t="n">
        <x:f>D7*E7</x:f>
        <x:v>570000</x:v>
      </x:c>
      <x:c r="I7" s="73" t="n">
        <x:f>D7*F7</x:f>
        <x:v>45000</x:v>
      </x:c>
      <x:c r="J7" s="31" t="str">
        <x:v>Short-cycle verified cash gap</x:v>
      </x:c>
    </x:row>
    <x:row r="8">
      <x:c r="A8" s="7"/>
      <x:c r="B8" s="7"/>
      <x:c r="C8" s="32" t="str">
        <x:v>Supplier credit</x:v>
      </x:c>
      <x:c r="D8" s="35" t="n">
        <x:v>1500000</x:v>
      </x:c>
      <x:c r="E8" s="38" t="n">
        <x:v>0.08</x:v>
      </x:c>
      <x:c r="F8" s="108" t="n">
        <x:v>0</x:v>
      </x:c>
      <x:c r="G8" s="108" t="n">
        <x:v>0.25</x:v>
      </x:c>
      <x:c r="H8" s="38" t="n">
        <x:f>D8*E8</x:f>
        <x:v>120000</x:v>
      </x:c>
      <x:c r="I8" s="74" t="n">
        <x:f>D8*F8</x:f>
        <x:v>0</x:v>
      </x:c>
      <x:c r="J8" s="32" t="str">
        <x:v>Only if terms are agreed in writing</x:v>
      </x:c>
    </x:row>
    <x:row r="9">
      <x:c r="A9" s="7"/>
      <x:c r="B9" s="7"/>
      <x:c r="C9" s="6"/>
      <x:c r="D9" s="6"/>
      <x:c r="E9" s="6"/>
      <x:c r="F9" s="6"/>
      <x:c r="G9" s="6"/>
      <x:c r="H9" s="6"/>
      <x:c r="I9" s="6"/>
      <x:c r="J9" s="6"/>
    </x:row>
    <x:row r="10">
      <x:c r="A10" s="7"/>
      <x:c r="B10" s="7"/>
      <x:c r="C10" s="6"/>
      <x:c r="D10" s="6"/>
      <x:c r="E10" s="6"/>
      <x:c r="F10" s="6"/>
      <x:c r="G10" s="6"/>
      <x:c r="H10" s="6"/>
      <x:c r="I10" s="6"/>
      <x:c r="J10" s="6"/>
    </x:row>
    <x:row r="11">
      <x:c r="A11" s="7"/>
      <x:c r="B11" s="7"/>
      <x:c r="C11" s="17" t="str">
        <x:v>Borrowing decision</x:v>
      </x:c>
      <x:c r="D11" s="17" t="str">
        <x:v>Required source</x:v>
      </x:c>
      <x:c r="E11" s="17" t="str">
        <x:v>Owner action</x:v>
      </x:c>
      <x:c r="F11" s="6"/>
      <x:c r="G11" s="6"/>
      <x:c r="H11" s="6"/>
      <x:c r="I11" s="6"/>
      <x:c r="J11" s="6"/>
    </x:row>
    <x:row r="12">
      <x:c r="A12" s="7"/>
      <x:c r="B12" s="7"/>
      <x:c r="C12" s="20" t="str">
        <x:v>Named cash gap</x:v>
      </x:c>
      <x:c r="D12" s="20" t="str">
        <x:v>13-week forecast and dated obligation</x:v>
      </x:c>
      <x:c r="E12" s="20" t="str">
        <x:v>Enter amount, due date and repayment source</x:v>
      </x:c>
      <x:c r="F12" s="6"/>
      <x:c r="G12" s="6"/>
      <x:c r="H12" s="6"/>
      <x:c r="I12" s="6"/>
      <x:c r="J12" s="6"/>
    </x:row>
    <x:row r="13">
      <x:c r="A13" s="7"/>
      <x:c r="B13" s="7"/>
      <x:c r="C13" s="20" t="str">
        <x:v>Facility cost</x:v>
      </x:c>
      <x:c r="D13" s="20" t="str">
        <x:v>Facility letter and fee schedule</x:v>
      </x:c>
      <x:c r="E13" s="20" t="str">
        <x:v>Compare fees, reserve, collateral and renewal terms</x:v>
      </x:c>
      <x:c r="F13" s="6"/>
      <x:c r="G13" s="6"/>
      <x:c r="H13" s="6"/>
      <x:c r="I13" s="6"/>
      <x:c r="J13" s="6"/>
    </x:row>
    <x:row r="14">
      <x:c r="A14" s="7"/>
      <x:c r="B14" s="7"/>
      <x:c r="C14" s="20" t="str">
        <x:v>Growth case</x:v>
      </x:c>
      <x:c r="D14" s="20" t="str">
        <x:v>Customer demand and contribution evidence</x:v>
      </x:c>
      <x:c r="E14" s="20" t="str">
        <x:v>Show base, delayed collection and stop condition</x:v>
      </x:c>
      <x:c r="F14" s="6"/>
      <x:c r="G14" s="6"/>
      <x:c r="H14" s="6"/>
      <x:c r="I14" s="6"/>
      <x:c r="J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  <x:c r="J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  <x:c r="J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  <x:c r="J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0" hidden="0" customWidth="1"/>
    <x:col min="4" max="4" width="45" hidden="0" customWidth="1"/>
    <x:col min="5" max="5" width="48" hidden="0" customWidth="1"/>
    <x:col min="6" max="6" width="17" hidden="0" customWidth="1"/>
    <x:col min="7" max="7" width="21" hidden="0" customWidth="1"/>
    <x:col min="8" max="8" width="16" hidden="0" customWidth="1"/>
  </x:cols>
  <x:sheetData>
    <x:row r="1" ht="25" customHeight="1">
      <x:c r="A1" s="7"/>
      <x:c r="B1" s="7"/>
      <x:c r="C1" s="4" t="str">
        <x:v>Buying, selling and succession checklist</x:v>
      </x:c>
      <x:c r="D1" s="4"/>
      <x:c r="E1" s="4"/>
      <x:c r="F1" s="4"/>
      <x:c r="G1" s="4"/>
      <x:c r="H1" s="4"/>
      <x:c r="I1" s="4"/>
    </x:row>
    <x:row r="2">
      <x:c r="A2" s="7"/>
      <x:c r="B2" s="7"/>
      <x:c r="C2" s="5" t="str">
        <x:v>Transaction worklist | Record only evidence reviewed; a seller add-back is not accepted just because it is called one-off.</x:v>
      </x:c>
      <x:c r="D2" s="5"/>
      <x:c r="E2" s="5"/>
      <x:c r="F2" s="5"/>
      <x:c r="G2" s="5"/>
      <x:c r="H2" s="5"/>
      <x:c r="I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</x:row>
    <x:row r="5" ht="30" customHeight="1">
      <x:c r="A5" s="7"/>
      <x:c r="B5" s="7"/>
      <x:c r="C5" s="25" t="str">
        <x:v>Workstream</x:v>
      </x:c>
      <x:c r="D5" s="25" t="str">
        <x:v>Evidence</x:v>
      </x:c>
      <x:c r="E5" s="25" t="str">
        <x:v>Decision / next step</x:v>
      </x:c>
      <x:c r="F5" s="25" t="str">
        <x:v>Status</x:v>
      </x:c>
      <x:c r="G5" s="25" t="str">
        <x:v>Owner</x:v>
      </x:c>
      <x:c r="H5" s="25" t="str">
        <x:v>Due date</x:v>
      </x:c>
      <x:c r="I5" s="6"/>
    </x:row>
    <x:row r="6">
      <x:c r="A6" s="7"/>
      <x:c r="B6" s="7"/>
      <x:c r="C6" s="30" t="str">
        <x:v>Entity perimeter and title</x:v>
      </x:c>
      <x:c r="D6" s="30" t="str">
        <x:v>Company search, asset title, lease and guarantees</x:v>
      </x:c>
      <x:c r="E6" s="30" t="str">
        <x:v>Confirm seller, operating entity and transferable assets</x:v>
      </x:c>
      <x:c r="F6" s="33" t="str">
        <x:v>Open</x:v>
      </x:c>
      <x:c r="G6" s="33" t="str">
        <x:v>Buyer lead</x:v>
      </x:c>
      <x:c r="H6" s="33"/>
      <x:c r="I6" s="6"/>
    </x:row>
    <x:row r="7">
      <x:c r="A7" s="7"/>
      <x:c r="B7" s="7"/>
      <x:c r="C7" s="31" t="str">
        <x:v>Sales and collections</x:v>
      </x:c>
      <x:c r="D7" s="31" t="str">
        <x:v>Invoice, delivery, customer statement, bank receipt</x:v>
      </x:c>
      <x:c r="E7" s="31" t="str">
        <x:v>Trace sample transactions through collection</x:v>
      </x:c>
      <x:c r="F7" s="34" t="str">
        <x:v>Open</x:v>
      </x:c>
      <x:c r="G7" s="34" t="str">
        <x:v>Finance lead</x:v>
      </x:c>
      <x:c r="H7" s="34"/>
      <x:c r="I7" s="6"/>
    </x:row>
    <x:row r="8">
      <x:c r="A8" s="7"/>
      <x:c r="B8" s="7"/>
      <x:c r="C8" s="31" t="str">
        <x:v>Owner duties and pay</x:v>
      </x:c>
      <x:c r="D8" s="31" t="str">
        <x:v>Role list, payroll, calendar, customer contacts</x:v>
      </x:c>
      <x:c r="E8" s="31" t="str">
        <x:v>Cost realistic replacement management</x:v>
      </x:c>
      <x:c r="F8" s="34" t="str">
        <x:v>Open</x:v>
      </x:c>
      <x:c r="G8" s="34" t="str">
        <x:v>Buyer / seller</x:v>
      </x:c>
      <x:c r="H8" s="34"/>
      <x:c r="I8" s="6"/>
    </x:row>
    <x:row r="9">
      <x:c r="A9" s="7"/>
      <x:c r="B9" s="7"/>
      <x:c r="C9" s="31" t="str">
        <x:v>Stock and equipment</x:v>
      </x:c>
      <x:c r="D9" s="31" t="str">
        <x:v>Count, age, condition, repair log, supplier quote</x:v>
      </x:c>
      <x:c r="E9" s="31" t="str">
        <x:v>Adjust price and fund first renewal cycle</x:v>
      </x:c>
      <x:c r="F9" s="34" t="str">
        <x:v>Open</x:v>
      </x:c>
      <x:c r="G9" s="34" t="str">
        <x:v>Operations</x:v>
      </x:c>
      <x:c r="H9" s="34"/>
      <x:c r="I9" s="6"/>
    </x:row>
    <x:row r="10">
      <x:c r="A10" s="7"/>
      <x:c r="B10" s="7"/>
      <x:c r="C10" s="31" t="str">
        <x:v>Taxes, staff and creditor claims</x:v>
      </x:c>
      <x:c r="D10" s="31" t="str">
        <x:v>Tax status, payroll, lender and supplier confirmation</x:v>
      </x:c>
      <x:c r="E10" s="31" t="str">
        <x:v>Reconcile obligations and closing conditions</x:v>
      </x:c>
      <x:c r="F10" s="34" t="str">
        <x:v>Open</x:v>
      </x:c>
      <x:c r="G10" s="34" t="str">
        <x:v>Adviser</x:v>
      </x:c>
      <x:c r="H10" s="34"/>
      <x:c r="I10" s="6"/>
    </x:row>
    <x:row r="11">
      <x:c r="A11" s="7"/>
      <x:c r="B11" s="7"/>
      <x:c r="C11" s="31" t="str">
        <x:v>Working-capital baseline</x:v>
      </x:c>
      <x:c r="D11" s="31" t="str">
        <x:v>Monthly balances and seasonal record</x:v>
      </x:c>
      <x:c r="E11" s="31" t="str">
        <x:v>Define normal level and completion accounts</x:v>
      </x:c>
      <x:c r="F11" s="34" t="str">
        <x:v>Open</x:v>
      </x:c>
      <x:c r="G11" s="34" t="str">
        <x:v>Accountant</x:v>
      </x:c>
      <x:c r="H11" s="34"/>
      <x:c r="I11" s="6"/>
    </x:row>
    <x:row r="12">
      <x:c r="A12" s="7"/>
      <x:c r="B12" s="7"/>
      <x:c r="C12" s="31" t="str">
        <x:v>Customer and supplier transfer</x:v>
      </x:c>
      <x:c r="D12" s="31" t="str">
        <x:v>Consent clauses, renewal dates, concentration</x:v>
      </x:c>
      <x:c r="E12" s="31" t="str">
        <x:v>Identify approvals required before close</x:v>
      </x:c>
      <x:c r="F12" s="34" t="str">
        <x:v>Open</x:v>
      </x:c>
      <x:c r="G12" s="34" t="str">
        <x:v>Legal lead</x:v>
      </x:c>
      <x:c r="H12" s="34"/>
      <x:c r="I12" s="6"/>
    </x:row>
    <x:row r="13">
      <x:c r="A13" s="7"/>
      <x:c r="B13" s="7"/>
      <x:c r="C13" s="32" t="str">
        <x:v>Transition milestones</x:v>
      </x:c>
      <x:c r="D13" s="32" t="str">
        <x:v>Customer retention, error rate, delivery and collections</x:v>
      </x:c>
      <x:c r="E13" s="32" t="str">
        <x:v>Set 30/60/90-day handover measures</x:v>
      </x:c>
      <x:c r="F13" s="35" t="str">
        <x:v>Open</x:v>
      </x:c>
      <x:c r="G13" s="35" t="str">
        <x:v>Seller / successor</x:v>
      </x:c>
      <x:c r="H13" s="35"/>
      <x:c r="I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9" hidden="0" customWidth="1"/>
    <x:col min="4" max="4" width="20" hidden="0" customWidth="1"/>
    <x:col min="5" max="5" width="23" hidden="0" customWidth="1"/>
    <x:col min="6" max="6" width="62" hidden="0" customWidth="1"/>
    <x:col min="7" max="7" width="28" hidden="0" customWidth="1"/>
    <x:col min="8" max="8" width="66" hidden="0" customWidth="1"/>
    <x:col min="9" max="9" width="58" hidden="0" customWidth="1"/>
  </x:cols>
  <x:sheetData>
    <x:row r="1" ht="25" customHeight="1">
      <x:c r="A1" s="7"/>
      <x:c r="B1" s="7"/>
      <x:c r="C1" s="112" t="str">
        <x:v>Sources and checks</x:v>
      </x:c>
      <x:c r="D1" s="112"/>
      <x:c r="E1" s="112"/>
      <x:c r="F1" s="112"/>
      <x:c r="G1" s="112"/>
      <x:c r="H1" s="112"/>
      <x:c r="I1" s="112"/>
      <x:c r="J1" s="112"/>
    </x:row>
    <x:row r="2">
      <x:c r="A2" s="7"/>
      <x:c r="B2" s="7"/>
      <x:c r="C2" s="113" t="str">
        <x:v>Sources sit beside the data they support. An unavailable check is not treated as a passing result.</x:v>
      </x:c>
      <x:c r="D2" s="113"/>
      <x:c r="E2" s="113"/>
      <x:c r="F2" s="113"/>
      <x:c r="G2" s="113"/>
      <x:c r="H2" s="113"/>
      <x:c r="I2" s="113"/>
      <x:c r="J2" s="113"/>
    </x:row>
    <x:row r="3">
      <x:c r="A3" s="7"/>
      <x:c r="B3" s="7"/>
      <x:c r="C3" s="26"/>
      <x:c r="D3" s="26"/>
      <x:c r="E3" s="26"/>
      <x:c r="F3" s="26"/>
      <x:c r="G3" s="26"/>
      <x:c r="H3" s="26"/>
      <x:c r="I3" s="26"/>
      <x:c r="J3" s="26"/>
    </x:row>
    <x:row r="4">
      <x:c r="A4" s="7"/>
      <x:c r="B4" s="7"/>
      <x:c r="C4" s="26"/>
      <x:c r="D4" s="26"/>
      <x:c r="E4" s="26"/>
      <x:c r="F4" s="26"/>
      <x:c r="G4" s="26"/>
      <x:c r="H4" s="26"/>
      <x:c r="I4" s="26"/>
      <x:c r="J4" s="26"/>
    </x:row>
    <x:row r="5" ht="30" customHeight="1">
      <x:c r="A5" s="7"/>
      <x:c r="B5" s="7"/>
      <x:c r="C5" s="25" t="str">
        <x:v>Source ID</x:v>
      </x:c>
      <x:c r="D5" s="25" t="str">
        <x:v>Source or record</x:v>
      </x:c>
      <x:c r="E5" s="25" t="str">
        <x:v>Type</x:v>
      </x:c>
      <x:c r="F5" s="25" t="str">
        <x:v>Period / date</x:v>
      </x:c>
      <x:c r="G5" s="25" t="str">
        <x:v>Entity / scope</x:v>
      </x:c>
      <x:c r="H5" s="25" t="str">
        <x:v>URL or location</x:v>
      </x:c>
      <x:c r="I5" s="25" t="str">
        <x:v>Use and limits</x:v>
      </x:c>
      <x:c r="J5" s="26"/>
    </x:row>
    <x:row r="6">
      <x:c r="A6" s="7"/>
      <x:c r="B6" s="7"/>
      <x:c r="C6" s="27" t="str">
        <x:v>P1-01</x:v>
      </x:c>
      <x:c r="D6" s="30" t="str">
        <x:v>Berkshire Hathaway, Chairman's Letter 1986</x:v>
      </x:c>
      <x:c r="E6" s="27" t="str">
        <x:v>Primary company letter</x:v>
      </x:c>
      <x:c r="F6" s="27" t="str">
        <x:v>1986</x:v>
      </x:c>
      <x:c r="G6" s="27" t="str">
        <x:v>Owner earnings definition</x:v>
      </x:c>
      <x:c r="H6" s="30" t="str">
        <x:v>https://www.berkshirehathaway.com/letters/1986.html</x:v>
      </x:c>
      <x:c r="I6" s="30" t="str">
        <x:v>Use the original formulation; the worked cash forecast here is an operating adaptation.</x:v>
      </x:c>
      <x:c r="J6" s="26"/>
    </x:row>
    <x:row r="7">
      <x:c r="A7" s="7"/>
      <x:c r="B7" s="7"/>
      <x:c r="C7" s="28" t="str">
        <x:v>P1-02</x:v>
      </x:c>
      <x:c r="D7" s="31" t="str">
        <x:v>Deloof, working capital and profitability</x:v>
      </x:c>
      <x:c r="E7" s="28" t="str">
        <x:v>Peer-reviewed study</x:v>
      </x:c>
      <x:c r="F7" s="28" t="str">
        <x:v>2003</x:v>
      </x:c>
      <x:c r="G7" s="28" t="str">
        <x:v>Working-capital context</x:v>
      </x:c>
      <x:c r="H7" s="31" t="str">
        <x:v>https://doi.org/10.1111/1468-5957.00008</x:v>
      </x:c>
      <x:c r="I7" s="31" t="str">
        <x:v>Belgian firm sample; not a universal operating target.</x:v>
      </x:c>
      <x:c r="J7" s="26"/>
    </x:row>
    <x:row r="8">
      <x:c r="A8" s="7"/>
      <x:c r="B8" s="7"/>
      <x:c r="C8" s="28" t="str">
        <x:v>P1-03</x:v>
      </x:c>
      <x:c r="D8" s="31" t="str">
        <x:v>García-Teruel and Martínez-Solano, SME working capital</x:v>
      </x:c>
      <x:c r="E8" s="28" t="str">
        <x:v>Peer-reviewed study</x:v>
      </x:c>
      <x:c r="F8" s="28" t="str">
        <x:v>2007</x:v>
      </x:c>
      <x:c r="G8" s="28" t="str">
        <x:v>SME cash-cycle context</x:v>
      </x:c>
      <x:c r="H8" s="31" t="str">
        <x:v>https://doi.org/10.1108/17439130710738718</x:v>
      </x:c>
      <x:c r="I8" s="31" t="str">
        <x:v>Study sample and setting limit generalization.</x:v>
      </x:c>
      <x:c r="J8" s="26"/>
    </x:row>
    <x:row r="9">
      <x:c r="A9" s="7"/>
      <x:c r="B9" s="7"/>
      <x:c r="C9" s="29" t="str">
        <x:v>P1-04</x:v>
      </x:c>
      <x:c r="D9" s="32" t="str">
        <x:v>Livdan and Nezlobin, replacement cost and capital stock</x:v>
      </x:c>
      <x:c r="E9" s="29" t="str">
        <x:v>Peer-reviewed study</x:v>
      </x:c>
      <x:c r="F9" s="29" t="str">
        <x:v>2021</x:v>
      </x:c>
      <x:c r="G9" s="29" t="str">
        <x:v>Maintenance investment</x:v>
      </x:c>
      <x:c r="H9" s="32" t="str">
        <x:v>https://doi.org/10.1016/j.jfineco.2021.05.021</x:v>
      </x:c>
      <x:c r="I9" s="32" t="str">
        <x:v>Supports separating replacement from growth; does not estimate this example's assets.</x:v>
      </x:c>
      <x:c r="J9" s="26"/>
    </x:row>
    <x:row r="10">
      <x:c r="A10" s="7"/>
      <x:c r="B10" s="7"/>
      <x:c r="C10" s="26"/>
      <x:c r="D10" s="26"/>
      <x:c r="E10" s="26"/>
      <x:c r="F10" s="26"/>
      <x:c r="G10" s="26"/>
      <x:c r="H10" s="26"/>
      <x:c r="I10" s="26"/>
      <x:c r="J10" s="26"/>
    </x:row>
    <x:row r="11">
      <x:c r="A11" s="7"/>
      <x:c r="B11" s="7"/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7"/>
      <x:c r="B12" s="7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7"/>
      <x:c r="B13" s="7"/>
      <x:c r="C13" s="26"/>
      <x:c r="D13" s="26"/>
      <x:c r="E13" s="26"/>
      <x:c r="F13" s="26"/>
      <x:c r="G13" s="26"/>
      <x:c r="H13" s="26"/>
      <x:c r="I13" s="26"/>
      <x:c r="J13" s="26"/>
    </x:row>
    <x:row r="14">
      <x:c r="A14" s="7"/>
      <x:c r="B14" s="7"/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7"/>
      <x:c r="B15" s="7"/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7"/>
      <x:c r="B16" s="7"/>
      <x:c r="C16" s="26"/>
      <x:c r="D16" s="26"/>
      <x:c r="E16" s="26"/>
      <x:c r="F16" s="26"/>
      <x:c r="G16" s="26"/>
      <x:c r="H16" s="26"/>
      <x:c r="I16" s="26"/>
      <x:c r="J16" s="26"/>
    </x:row>
    <x:row r="17">
      <x:c r="A17" s="7"/>
      <x:c r="B17" s="7"/>
      <x:c r="C17" s="26"/>
      <x:c r="D17" s="26"/>
      <x:c r="E17" s="26"/>
      <x:c r="F17" s="26"/>
      <x:c r="G17" s="26"/>
      <x:c r="H17" s="26"/>
      <x:c r="I17" s="26"/>
      <x:c r="J17" s="26"/>
    </x:row>
    <x:row r="18">
      <x:c r="A18" s="7"/>
      <x:c r="B18" s="7"/>
      <x:c r="C18" s="114" t="str">
        <x:v>Formula and source checks</x:v>
      </x:c>
      <x:c r="D18" s="114"/>
      <x:c r="E18" s="114"/>
      <x:c r="F18" s="114"/>
      <x:c r="G18" s="26"/>
      <x:c r="H18" s="26"/>
      <x:c r="I18" s="26"/>
      <x:c r="J18" s="26"/>
    </x:row>
    <x:row r="19" ht="30" customHeight="1">
      <x:c r="A19" s="7"/>
      <x:c r="B19" s="7"/>
      <x:c r="C19" s="25" t="str">
        <x:v>Check</x:v>
      </x:c>
      <x:c r="D19" s="25" t="str">
        <x:v>Result</x:v>
      </x:c>
      <x:c r="E19" s="25" t="str">
        <x:v>Tolerance / rule</x:v>
      </x:c>
      <x:c r="F19" s="25" t="str">
        <x:v>Interpretation</x:v>
      </x:c>
      <x:c r="G19" s="26"/>
      <x:c r="H19" s="26"/>
      <x:c r="I19" s="26"/>
      <x:c r="J19" s="26"/>
    </x:row>
    <x:row r="20">
      <x:c r="A20" s="7"/>
      <x:c r="B20" s="7"/>
      <x:c r="C20" s="30" t="str">
        <x:v>Owner-earnings bridge arithmetic</x:v>
      </x:c>
      <x:c r="D20" s="115" t="n">
        <x:f>'Owner Earnings'!D22-('Owner Earnings'!D12+'Owner Earnings'!D10-'Owner Earnings'!D11+'Owner Earnings'!D13+'Owner Earnings'!D14-'Owner Earnings'!D15-'Owner Earnings'!D16-'Owner Earnings'!D17-'Owner Earnings'!D18)</x:f>
        <x:v>0</x:v>
      </x:c>
      <x:c r="E20" s="27" t="str">
        <x:v>0.00 KES</x:v>
      </x:c>
      <x:c r="F20" s="30" t="str">
        <x:v>Zero means the displayed lines reconcile.</x:v>
      </x:c>
      <x:c r="G20" s="26"/>
      <x:c r="H20" s="26"/>
      <x:c r="I20" s="26"/>
      <x:c r="J20" s="26"/>
    </x:row>
    <x:row r="21">
      <x:c r="A21" s="7"/>
      <x:c r="B21" s="7"/>
      <x:c r="C21" s="31" t="str">
        <x:v>Cash roll-forward continuity</x:v>
      </x:c>
      <x:c r="D21" s="116" t="n">
        <x:f>MAX(ABS('Cash13W'!E7-'Cash13W'!N6),ABS('Cash13W'!E8-'Cash13W'!N7),ABS('Cash13W'!E9-'Cash13W'!N8),ABS('Cash13W'!E10-'Cash13W'!N9),ABS('Cash13W'!E11-'Cash13W'!N10),ABS('Cash13W'!E12-'Cash13W'!N11),ABS('Cash13W'!E13-'Cash13W'!N12),ABS('Cash13W'!E14-'Cash13W'!N13),ABS('Cash13W'!E15-'Cash13W'!N14),ABS('Cash13W'!E16-'Cash13W'!N15),ABS('Cash13W'!E17-'Cash13W'!N16),ABS('Cash13W'!E18-'Cash13W'!N17))</x:f>
        <x:v>0</x:v>
      </x:c>
      <x:c r="E21" s="28" t="str">
        <x:v>0.00 KES</x:v>
      </x:c>
      <x:c r="F21" s="31" t="str">
        <x:v>Each week opens at the prior week's closing cash.</x:v>
      </x:c>
      <x:c r="G21" s="26"/>
      <x:c r="H21" s="26"/>
      <x:c r="I21" s="26"/>
      <x:c r="J21" s="26"/>
    </x:row>
    <x:row r="22">
      <x:c r="A22" s="7"/>
      <x:c r="B22" s="7"/>
      <x:c r="C22" s="31" t="str">
        <x:v>Working-capital cash-cycle formula</x:v>
      </x:c>
      <x:c r="D22" s="116" t="n">
        <x:f>'Working Capital'!M8-('Working Capital'!J8+'Working Capital'!K8-'Working Capital'!L8)</x:f>
        <x:v>0</x:v>
      </x:c>
      <x:c r="E22" s="28" t="str">
        <x:v>0.00 days</x:v>
      </x:c>
      <x:c r="F22" s="31" t="str">
        <x:v>CCC equals DSO + DIO - DPO for the final sample month.</x:v>
      </x:c>
      <x:c r="G22" s="26"/>
      <x:c r="H22" s="26"/>
      <x:c r="I22" s="26"/>
      <x:c r="J22" s="26"/>
    </x:row>
    <x:row r="23">
      <x:c r="A23" s="7"/>
      <x:c r="B23" s="7"/>
      <x:c r="C23" s="31" t="str">
        <x:v>Lowest open receivable balance</x:v>
      </x:c>
      <x:c r="D23" s="116" t="n">
        <x:f>MIN('Receivables'!I6:I13)</x:f>
        <x:v>0</x:v>
      </x:c>
      <x:c r="E23" s="28" t="str">
        <x:v>At least zero</x:v>
      </x:c>
      <x:c r="F23" s="31" t="str">
        <x:v>Negative balance indicates cash applied exceeds the invoice.</x:v>
      </x:c>
      <x:c r="G23" s="26"/>
      <x:c r="H23" s="26"/>
      <x:c r="I23" s="26"/>
      <x:c r="J23" s="26"/>
    </x:row>
    <x:row r="24">
      <x:c r="A24" s="7"/>
      <x:c r="B24" s="7"/>
      <x:c r="C24" s="32" t="str">
        <x:v>Lowest open payable balance</x:v>
      </x:c>
      <x:c r="D24" s="117" t="n">
        <x:f>MIN(Payables!I6:I13)</x:f>
        <x:v>0</x:v>
      </x:c>
      <x:c r="E24" s="29" t="str">
        <x:v>At least zero</x:v>
      </x:c>
      <x:c r="F24" s="32" t="str">
        <x:v>Negative balance indicates cash paid exceeds the invoice.</x:v>
      </x:c>
      <x:c r="G24" s="26"/>
      <x:c r="H24" s="26"/>
      <x:c r="I24" s="26"/>
      <x:c r="J24" s="26"/>
    </x:row>
    <x:row r="25">
      <x:c r="A25" s="7"/>
      <x:c r="B25" s="7"/>
      <x:c r="C25" s="26"/>
      <x:c r="D25" s="26"/>
      <x:c r="E25" s="26"/>
      <x:c r="F25" s="26"/>
      <x:c r="G25" s="26"/>
      <x:c r="H25" s="26"/>
      <x:c r="I25" s="26"/>
      <x:c r="J25" s="26"/>
    </x:row>
    <x:row r="26">
      <x:c r="A26" s="7"/>
      <x:c r="B26" s="7"/>
      <x:c r="C26" s="26"/>
      <x:c r="D26" s="26"/>
      <x:c r="E26" s="26"/>
      <x:c r="F26" s="26"/>
      <x:c r="G26" s="26"/>
      <x:c r="H26" s="26"/>
      <x:c r="I26" s="26"/>
      <x:c r="J26" s="26"/>
    </x:row>
    <x:row r="27">
      <x:c r="A27" s="7"/>
      <x:c r="B27" s="7"/>
      <x:c r="C27" s="26"/>
      <x:c r="D27" s="26"/>
      <x:c r="E27" s="26"/>
      <x:c r="F27" s="26"/>
      <x:c r="G27" s="26"/>
      <x:c r="H27" s="26"/>
      <x:c r="I27" s="26"/>
      <x:c r="J27" s="26"/>
    </x:row>
    <x:row r="28">
      <x:c r="A28" s="7"/>
      <x:c r="B28" s="7"/>
      <x:c r="C28" s="26"/>
      <x:c r="D28" s="26"/>
      <x:c r="E28" s="26"/>
      <x:c r="F28" s="26"/>
      <x:c r="G28" s="26"/>
      <x:c r="H28" s="26"/>
      <x:c r="I28" s="26"/>
      <x:c r="J28" s="26"/>
    </x:row>
    <x:row r="29">
      <x:c r="A29" s="7"/>
      <x:c r="B29" s="7"/>
      <x:c r="C29" s="26"/>
      <x:c r="D29" s="26"/>
      <x:c r="E29" s="26"/>
      <x:c r="F29" s="26"/>
      <x:c r="G29" s="26"/>
      <x:c r="H29" s="26"/>
      <x:c r="I29" s="26"/>
      <x:c r="J29" s="26"/>
    </x:row>
    <x:row r="30">
      <x:c r="A30" s="7"/>
      <x:c r="B30" s="7"/>
      <x:c r="C30" s="26"/>
      <x:c r="D30" s="26"/>
      <x:c r="E30" s="26"/>
      <x:c r="F30" s="26"/>
      <x:c r="G30" s="26"/>
      <x:c r="H30" s="26"/>
      <x:c r="I30" s="26"/>
      <x:c r="J30" s="26"/>
    </x:row>
    <x:row r="31">
      <x:c r="A31" s="7"/>
      <x:c r="B31" s="7"/>
      <x:c r="C31" s="26"/>
      <x:c r="D31" s="26"/>
      <x:c r="E31" s="26"/>
      <x:c r="F31" s="26"/>
      <x:c r="G31" s="26"/>
      <x:c r="H31" s="26"/>
      <x:c r="I31" s="26"/>
      <x:c r="J31" s="26"/>
    </x:row>
    <x:row r="32">
      <x:c r="A32" s="7"/>
      <x:c r="B32" s="7"/>
      <x:c r="C32" s="26"/>
      <x:c r="D32" s="26"/>
      <x:c r="E32" s="26"/>
      <x:c r="F32" s="26"/>
      <x:c r="G32" s="26"/>
      <x:c r="H32" s="26"/>
      <x:c r="I32" s="26"/>
      <x:c r="J32" s="26"/>
    </x:row>
    <x:row r="33">
      <x:c r="A33" s="7"/>
      <x:c r="B33" s="7"/>
      <x:c r="C33" s="26"/>
      <x:c r="D33" s="26"/>
      <x:c r="E33" s="26"/>
      <x:c r="F33" s="26"/>
      <x:c r="G33" s="26"/>
      <x:c r="H33" s="26"/>
      <x:c r="I33" s="26"/>
      <x:c r="J33" s="26"/>
    </x:row>
    <x:row r="34">
      <x:c r="A34" s="7"/>
      <x:c r="B34" s="7"/>
      <x:c r="C34" s="26"/>
      <x:c r="D34" s="26"/>
      <x:c r="E34" s="26"/>
      <x:c r="F34" s="26"/>
      <x:c r="G34" s="26"/>
      <x:c r="H34" s="26"/>
      <x:c r="I34" s="26"/>
      <x:c r="J34" s="26"/>
    </x:row>
    <x:row r="35">
      <x:c r="A35" s="7"/>
      <x:c r="B35" s="7"/>
      <x:c r="C35" s="26"/>
      <x:c r="D35" s="26"/>
      <x:c r="E35" s="26"/>
      <x:c r="F35" s="26"/>
      <x:c r="G35" s="26"/>
      <x:c r="H35" s="26"/>
      <x:c r="I35" s="26"/>
      <x:c r="J35" s="26"/>
    </x:row>
    <x:row r="36">
      <x:c r="A36" s="7"/>
      <x:c r="B36" s="7"/>
      <x:c r="C36" s="26"/>
      <x:c r="D36" s="26"/>
      <x:c r="E36" s="26"/>
      <x:c r="F36" s="26"/>
      <x:c r="G36" s="26"/>
      <x:c r="H36" s="26"/>
      <x:c r="I36" s="26"/>
      <x:c r="J36" s="26"/>
    </x:row>
    <x:row r="37">
      <x:c r="A37" s="7"/>
      <x:c r="B37" s="7"/>
      <x:c r="C37" s="26"/>
      <x:c r="D37" s="26"/>
      <x:c r="E37" s="26"/>
      <x:c r="F37" s="26"/>
      <x:c r="G37" s="26"/>
      <x:c r="H37" s="26"/>
      <x:c r="I37" s="26"/>
      <x:c r="J37" s="26"/>
    </x:row>
    <x:row r="38">
      <x:c r="A38" s="7"/>
      <x:c r="B38" s="7"/>
      <x:c r="C38" s="26"/>
      <x:c r="D38" s="26"/>
      <x:c r="E38" s="26"/>
      <x:c r="F38" s="26"/>
      <x:c r="G38" s="26"/>
      <x:c r="H38" s="26"/>
      <x:c r="I38" s="26"/>
      <x:c r="J38" s="26"/>
    </x:row>
    <x:row r="39">
      <x:c r="A39" s="7"/>
      <x:c r="B39" s="7"/>
      <x:c r="C39" s="26"/>
      <x:c r="D39" s="26"/>
      <x:c r="E39" s="26"/>
      <x:c r="F39" s="26"/>
      <x:c r="G39" s="26"/>
      <x:c r="H39" s="26"/>
      <x:c r="I39" s="26"/>
      <x:c r="J39" s="26"/>
    </x:row>
    <x:row r="40">
      <x:c r="A40" s="7"/>
      <x:c r="B40" s="7"/>
      <x:c r="C40" s="26"/>
      <x:c r="D40" s="26"/>
      <x:c r="E40" s="26"/>
      <x:c r="F40" s="26"/>
      <x:c r="G40" s="26"/>
      <x:c r="H40" s="26"/>
      <x:c r="I40" s="26"/>
      <x:c r="J40" s="26"/>
    </x:row>
    <x:row r="41">
      <x:c r="A41" s="7"/>
      <x:c r="B41" s="7"/>
      <x:c r="C41" s="26"/>
      <x:c r="D41" s="26"/>
      <x:c r="E41" s="26"/>
      <x:c r="F41" s="26"/>
      <x:c r="G41" s="26"/>
      <x:c r="H41" s="26"/>
      <x:c r="I41" s="26"/>
      <x:c r="J41" s="26"/>
    </x:row>
    <x:row r="42">
      <x:c r="A42" s="7"/>
      <x:c r="B42" s="7"/>
      <x:c r="C42" s="26"/>
      <x:c r="D42" s="26"/>
      <x:c r="E42" s="26"/>
      <x:c r="F42" s="26"/>
      <x:c r="G42" s="26"/>
      <x:c r="H42" s="26"/>
      <x:c r="I42" s="26"/>
      <x:c r="J42" s="26"/>
    </x:row>
    <x:row r="43">
      <x:c r="A43" s="7"/>
      <x:c r="B43" s="7"/>
      <x:c r="C43" s="26"/>
      <x:c r="D43" s="26"/>
      <x:c r="E43" s="26"/>
      <x:c r="F43" s="26"/>
      <x:c r="G43" s="26"/>
      <x:c r="H43" s="26"/>
      <x:c r="I43" s="26"/>
      <x:c r="J43" s="26"/>
    </x:row>
    <x:row r="44">
      <x:c r="A44" s="7"/>
      <x:c r="B44" s="7"/>
      <x:c r="C44" s="26"/>
      <x:c r="D44" s="26"/>
      <x:c r="E44" s="26"/>
      <x:c r="F44" s="26"/>
      <x:c r="G44" s="26"/>
      <x:c r="H44" s="26"/>
      <x:c r="I44" s="26"/>
      <x:c r="J44" s="26"/>
    </x:row>
    <x:row r="45">
      <x:c r="A45" s="7"/>
      <x:c r="B45" s="7"/>
      <x:c r="C45" s="26"/>
      <x:c r="D45" s="26"/>
      <x:c r="E45" s="26"/>
      <x:c r="F45" s="26"/>
      <x:c r="G45" s="26"/>
      <x:c r="H45" s="26"/>
      <x:c r="I45" s="26"/>
      <x:c r="J45" s="26"/>
    </x:row>
    <x:row r="46">
      <x:c r="A46" s="7"/>
      <x:c r="B46" s="7"/>
      <x:c r="C46" s="26"/>
      <x:c r="D46" s="26"/>
      <x:c r="E46" s="26"/>
      <x:c r="F46" s="26"/>
      <x:c r="G46" s="26"/>
      <x:c r="H46" s="26"/>
      <x:c r="I46" s="26"/>
      <x:c r="J46" s="26"/>
    </x:row>
    <x:row r="47">
      <x:c r="A47" s="7"/>
      <x:c r="B47" s="7"/>
      <x:c r="C47" s="26"/>
      <x:c r="D47" s="26"/>
      <x:c r="E47" s="26"/>
      <x:c r="F47" s="26"/>
      <x:c r="G47" s="26"/>
      <x:c r="H47" s="26"/>
      <x:c r="I47" s="26"/>
      <x:c r="J47" s="26"/>
    </x:row>
    <x:row r="48">
      <x:c r="A48" s="7"/>
      <x:c r="B48" s="7"/>
      <x:c r="C48" s="26"/>
      <x:c r="D48" s="26"/>
      <x:c r="E48" s="26"/>
      <x:c r="F48" s="26"/>
      <x:c r="G48" s="26"/>
      <x:c r="H48" s="26"/>
      <x:c r="I48" s="26"/>
      <x:c r="J48" s="26"/>
    </x:row>
    <x:row r="49">
      <x:c r="A49" s="7"/>
      <x:c r="B49" s="7"/>
      <x:c r="C49" s="26"/>
      <x:c r="D49" s="26"/>
      <x:c r="E49" s="26"/>
      <x:c r="F49" s="26"/>
      <x:c r="G49" s="26"/>
      <x:c r="H49" s="26"/>
      <x:c r="I49" s="26"/>
      <x:c r="J49" s="26"/>
    </x:row>
    <x:row r="50">
      <x:c r="A50" s="7"/>
      <x:c r="B50" s="7"/>
      <x:c r="C50" s="26"/>
      <x:c r="D50" s="26"/>
      <x:c r="E50" s="26"/>
      <x:c r="F50" s="26"/>
      <x:c r="G50" s="26"/>
      <x:c r="H50" s="26"/>
      <x:c r="I50" s="26"/>
      <x:c r="J50" s="26"/>
    </x:row>
    <x:row r="51">
      <x:c r="A51" s="7"/>
      <x:c r="B51" s="7"/>
      <x:c r="C51" s="26"/>
      <x:c r="D51" s="26"/>
      <x:c r="E51" s="26"/>
      <x:c r="F51" s="26"/>
      <x:c r="G51" s="26"/>
      <x:c r="H51" s="26"/>
      <x:c r="I51" s="26"/>
      <x:c r="J51" s="26"/>
    </x:row>
    <x:row r="52">
      <x:c r="A52" s="7"/>
      <x:c r="B52" s="7"/>
      <x:c r="C52" s="26"/>
      <x:c r="D52" s="26"/>
      <x:c r="E52" s="26"/>
      <x:c r="F52" s="26"/>
      <x:c r="G52" s="26"/>
      <x:c r="H52" s="26"/>
      <x:c r="I52" s="26"/>
      <x:c r="J52" s="26"/>
    </x:row>
    <x:row r="53">
      <x:c r="A53" s="7"/>
      <x:c r="B53" s="7"/>
      <x:c r="C53" s="26"/>
      <x:c r="D53" s="26"/>
      <x:c r="E53" s="26"/>
      <x:c r="F53" s="26"/>
      <x:c r="G53" s="26"/>
      <x:c r="H53" s="26"/>
      <x:c r="I53" s="26"/>
      <x:c r="J53" s="26"/>
    </x:row>
    <x:row r="54">
      <x:c r="A54" s="7"/>
      <x:c r="B54" s="7"/>
      <x:c r="C54" s="26"/>
      <x:c r="D54" s="26"/>
      <x:c r="E54" s="26"/>
      <x:c r="F54" s="26"/>
      <x:c r="G54" s="26"/>
      <x:c r="H54" s="26"/>
      <x:c r="I54" s="26"/>
      <x:c r="J54" s="26"/>
    </x:row>
    <x:row r="55">
      <x:c r="A55" s="7"/>
      <x:c r="B55" s="7"/>
      <x:c r="C55" s="26"/>
      <x:c r="D55" s="26"/>
      <x:c r="E55" s="26"/>
      <x:c r="F55" s="26"/>
      <x:c r="G55" s="26"/>
      <x:c r="H55" s="26"/>
      <x:c r="I55" s="26"/>
      <x:c r="J55" s="26"/>
    </x:row>
    <x:row r="56">
      <x:c r="A56" s="7"/>
      <x:c r="B56" s="7"/>
      <x:c r="C56" s="26"/>
      <x:c r="D56" s="26"/>
      <x:c r="E56" s="26"/>
      <x:c r="F56" s="26"/>
      <x:c r="G56" s="26"/>
      <x:c r="H56" s="26"/>
      <x:c r="I56" s="26"/>
      <x:c r="J56" s="26"/>
    </x:row>
    <x:row r="57">
      <x:c r="A57" s="7"/>
      <x:c r="B57" s="7"/>
      <x:c r="C57" s="26"/>
      <x:c r="D57" s="26"/>
      <x:c r="E57" s="26"/>
      <x:c r="F57" s="26"/>
      <x:c r="G57" s="26"/>
      <x:c r="H57" s="26"/>
      <x:c r="I57" s="26"/>
      <x:c r="J57" s="26"/>
    </x:row>
    <x:row r="58">
      <x:c r="A58" s="7"/>
      <x:c r="B58" s="7"/>
      <x:c r="C58" s="26"/>
      <x:c r="D58" s="26"/>
      <x:c r="E58" s="26"/>
      <x:c r="F58" s="26"/>
      <x:c r="G58" s="26"/>
      <x:c r="H58" s="26"/>
      <x:c r="I58" s="26"/>
      <x:c r="J58" s="26"/>
    </x:row>
    <x:row r="59">
      <x:c r="A59" s="7"/>
      <x:c r="B59" s="7"/>
      <x:c r="C59" s="26"/>
      <x:c r="D59" s="26"/>
      <x:c r="E59" s="26"/>
      <x:c r="F59" s="26"/>
      <x:c r="G59" s="26"/>
      <x:c r="H59" s="26"/>
      <x:c r="I59" s="26"/>
      <x:c r="J59" s="26"/>
    </x:row>
    <x:row r="60">
      <x:c r="A60" s="7"/>
      <x:c r="B60" s="7"/>
      <x:c r="C60" s="26"/>
      <x:c r="D60" s="26"/>
      <x:c r="E60" s="26"/>
      <x:c r="F60" s="26"/>
      <x:c r="G60" s="26"/>
      <x:c r="H60" s="26"/>
      <x:c r="I60" s="26"/>
      <x:c r="J60" s="26"/>
    </x:row>
    <x:row r="61">
      <x:c r="A61" s="7"/>
      <x:c r="B61" s="7"/>
      <x:c r="C61" s="26"/>
      <x:c r="D61" s="26"/>
      <x:c r="E61" s="26"/>
      <x:c r="F61" s="26"/>
      <x:c r="G61" s="26"/>
      <x:c r="H61" s="26"/>
      <x:c r="I61" s="26"/>
      <x:c r="J61" s="26"/>
    </x:row>
    <x:row r="62">
      <x:c r="A62" s="7"/>
      <x:c r="B62" s="7"/>
      <x:c r="C62" s="26"/>
      <x:c r="D62" s="26"/>
      <x:c r="E62" s="26"/>
      <x:c r="F62" s="26"/>
      <x:c r="G62" s="26"/>
      <x:c r="H62" s="26"/>
      <x:c r="I62" s="26"/>
      <x:c r="J62" s="26"/>
    </x:row>
    <x:row r="63">
      <x:c r="A63" s="7"/>
      <x:c r="B63" s="7"/>
      <x:c r="C63" s="26"/>
      <x:c r="D63" s="26"/>
      <x:c r="E63" s="26"/>
      <x:c r="F63" s="26"/>
      <x:c r="G63" s="26"/>
      <x:c r="H63" s="26"/>
      <x:c r="I63" s="26"/>
      <x:c r="J63" s="26"/>
    </x:row>
    <x:row r="64">
      <x:c r="A64" s="7"/>
      <x:c r="B64" s="7"/>
      <x:c r="C64" s="26"/>
      <x:c r="D64" s="26"/>
      <x:c r="E64" s="26"/>
      <x:c r="F64" s="26"/>
      <x:c r="G64" s="26"/>
      <x:c r="H64" s="26"/>
      <x:c r="I64" s="26"/>
      <x:c r="J64" s="26"/>
    </x:row>
    <x:row r="65">
      <x:c r="A65" s="7"/>
      <x:c r="B65" s="7"/>
      <x:c r="C65" s="26"/>
      <x:c r="D65" s="26"/>
      <x:c r="E65" s="26"/>
      <x:c r="F65" s="26"/>
      <x:c r="G65" s="26"/>
      <x:c r="H65" s="26"/>
      <x:c r="I65" s="26"/>
      <x:c r="J65" s="26"/>
    </x:row>
    <x:row r="66">
      <x:c r="A66" s="7"/>
      <x:c r="B66" s="7"/>
      <x:c r="C66" s="26"/>
      <x:c r="D66" s="26"/>
      <x:c r="E66" s="26"/>
      <x:c r="F66" s="26"/>
      <x:c r="G66" s="26"/>
      <x:c r="H66" s="26"/>
      <x:c r="I66" s="26"/>
      <x:c r="J66" s="26"/>
    </x:row>
    <x:row r="67">
      <x:c r="A67" s="7"/>
      <x:c r="B67" s="7"/>
      <x:c r="C67" s="26"/>
      <x:c r="D67" s="26"/>
      <x:c r="E67" s="26"/>
      <x:c r="F67" s="26"/>
      <x:c r="G67" s="26"/>
      <x:c r="H67" s="26"/>
      <x:c r="I67" s="26"/>
      <x:c r="J67" s="26"/>
    </x:row>
    <x:row r="68">
      <x:c r="A68" s="7"/>
      <x:c r="B68" s="7"/>
      <x:c r="C68" s="26"/>
      <x:c r="D68" s="26"/>
      <x:c r="E68" s="26"/>
      <x:c r="F68" s="26"/>
      <x:c r="G68" s="26"/>
      <x:c r="H68" s="26"/>
      <x:c r="I68" s="26"/>
      <x:c r="J68" s="26"/>
    </x:row>
    <x:row r="69">
      <x:c r="A69" s="7"/>
      <x:c r="B69" s="7"/>
      <x:c r="C69" s="26"/>
      <x:c r="D69" s="26"/>
      <x:c r="E69" s="26"/>
      <x:c r="F69" s="26"/>
      <x:c r="G69" s="26"/>
      <x:c r="H69" s="26"/>
      <x:c r="I69" s="26"/>
      <x:c r="J69" s="26"/>
    </x:row>
    <x:row r="70">
      <x:c r="A70" s="7"/>
      <x:c r="B70" s="7"/>
      <x:c r="C70" s="26"/>
      <x:c r="D70" s="26"/>
      <x:c r="E70" s="26"/>
      <x:c r="F70" s="26"/>
      <x:c r="G70" s="26"/>
      <x:c r="H70" s="26"/>
      <x:c r="I70" s="26"/>
      <x:c r="J70" s="26"/>
    </x:row>
    <x:row r="71">
      <x:c r="A71" s="7"/>
      <x:c r="B71" s="7"/>
      <x:c r="C71" s="26"/>
      <x:c r="D71" s="26"/>
      <x:c r="E71" s="26"/>
      <x:c r="F71" s="26"/>
      <x:c r="G71" s="26"/>
      <x:c r="H71" s="26"/>
      <x:c r="I71" s="26"/>
      <x:c r="J71" s="26"/>
    </x:row>
    <x:row r="72">
      <x:c r="A72" s="7"/>
      <x:c r="B72" s="7"/>
      <x:c r="C72" s="26"/>
      <x:c r="D72" s="26"/>
      <x:c r="E72" s="26"/>
      <x:c r="F72" s="26"/>
      <x:c r="G72" s="26"/>
      <x:c r="H72" s="26"/>
      <x:c r="I72" s="26"/>
      <x:c r="J72" s="26"/>
    </x:row>
    <x:row r="73">
      <x:c r="A73" s="7"/>
      <x:c r="B73" s="7"/>
      <x:c r="C73" s="26"/>
      <x:c r="D73" s="26"/>
      <x:c r="E73" s="26"/>
      <x:c r="F73" s="26"/>
      <x:c r="G73" s="26"/>
      <x:c r="H73" s="26"/>
      <x:c r="I73" s="26"/>
      <x:c r="J73" s="26"/>
    </x:row>
    <x:row r="74">
      <x:c r="A74" s="7"/>
      <x:c r="B74" s="7"/>
      <x:c r="C74" s="26"/>
      <x:c r="D74" s="26"/>
      <x:c r="E74" s="26"/>
      <x:c r="F74" s="26"/>
      <x:c r="G74" s="26"/>
      <x:c r="H74" s="26"/>
      <x:c r="I74" s="26"/>
      <x:c r="J74" s="26"/>
    </x:row>
    <x:row r="75">
      <x:c r="A75" s="7"/>
      <x:c r="B75" s="7"/>
      <x:c r="C75" s="26"/>
      <x:c r="D75" s="26"/>
      <x:c r="E75" s="26"/>
      <x:c r="F75" s="26"/>
      <x:c r="G75" s="26"/>
      <x:c r="H75" s="26"/>
      <x:c r="I75" s="26"/>
      <x:c r="J75" s="26"/>
    </x:row>
    <x:row r="76">
      <x:c r="A76" s="7"/>
      <x:c r="B76" s="7"/>
      <x:c r="C76" s="26"/>
      <x:c r="D76" s="26"/>
      <x:c r="E76" s="26"/>
      <x:c r="F76" s="26"/>
      <x:c r="G76" s="26"/>
      <x:c r="H76" s="26"/>
      <x:c r="I76" s="26"/>
      <x:c r="J76" s="26"/>
    </x:row>
    <x:row r="77">
      <x:c r="A77" s="7"/>
      <x:c r="B77" s="7"/>
      <x:c r="C77" s="26"/>
      <x:c r="D77" s="26"/>
      <x:c r="E77" s="26"/>
      <x:c r="F77" s="26"/>
      <x:c r="G77" s="26"/>
      <x:c r="H77" s="26"/>
      <x:c r="I77" s="26"/>
      <x:c r="J77" s="26"/>
    </x:row>
    <x:row r="78">
      <x:c r="A78" s="7"/>
      <x:c r="B78" s="7"/>
      <x:c r="C78" s="26"/>
      <x:c r="D78" s="26"/>
      <x:c r="E78" s="26"/>
      <x:c r="F78" s="26"/>
      <x:c r="G78" s="26"/>
      <x:c r="H78" s="26"/>
      <x:c r="I78" s="26"/>
      <x:c r="J78" s="26"/>
    </x:row>
    <x:row r="79">
      <x:c r="A79" s="7"/>
      <x:c r="B79" s="7"/>
      <x:c r="C79" s="26"/>
      <x:c r="D79" s="26"/>
      <x:c r="E79" s="26"/>
      <x:c r="F79" s="26"/>
      <x:c r="G79" s="26"/>
      <x:c r="H79" s="26"/>
      <x:c r="I79" s="26"/>
      <x:c r="J79" s="26"/>
    </x:row>
    <x:row r="80">
      <x:c r="A80" s="7"/>
      <x:c r="B80" s="7"/>
      <x:c r="C80" s="26"/>
      <x:c r="D80" s="26"/>
      <x:c r="E80" s="26"/>
      <x:c r="F80" s="26"/>
      <x:c r="G80" s="26"/>
      <x:c r="H80" s="26"/>
      <x:c r="I80" s="26"/>
      <x:c r="J80" s="26"/>
    </x:row>
    <x:row r="81">
      <x:c r="A81" s="7"/>
      <x:c r="B81" s="7"/>
      <x:c r="C81" s="26"/>
      <x:c r="D81" s="26"/>
      <x:c r="E81" s="26"/>
      <x:c r="F81" s="26"/>
      <x:c r="G81" s="26"/>
      <x:c r="H81" s="26"/>
      <x:c r="I81" s="26"/>
      <x:c r="J81" s="26"/>
    </x:row>
    <x:row r="82">
      <x:c r="A82" s="7"/>
      <x:c r="B82" s="7"/>
      <x:c r="C82" s="26"/>
      <x:c r="D82" s="26"/>
      <x:c r="E82" s="26"/>
      <x:c r="F82" s="26"/>
      <x:c r="G82" s="26"/>
      <x:c r="H82" s="26"/>
      <x:c r="I82" s="26"/>
      <x:c r="J82" s="26"/>
    </x:row>
    <x:row r="83">
      <x:c r="A83" s="7"/>
      <x:c r="B83" s="7"/>
      <x:c r="C83" s="26"/>
      <x:c r="D83" s="26"/>
      <x:c r="E83" s="26"/>
      <x:c r="F83" s="26"/>
      <x:c r="G83" s="26"/>
      <x:c r="H83" s="26"/>
      <x:c r="I83" s="26"/>
      <x:c r="J83" s="26"/>
    </x:row>
    <x:row r="84">
      <x:c r="A84" s="7"/>
      <x:c r="B84" s="7"/>
      <x:c r="C84" s="26"/>
      <x:c r="D84" s="26"/>
      <x:c r="E84" s="26"/>
      <x:c r="F84" s="26"/>
      <x:c r="G84" s="26"/>
      <x:c r="H84" s="26"/>
      <x:c r="I84" s="26"/>
      <x:c r="J84" s="26"/>
    </x:row>
    <x:row r="85">
      <x:c r="A85" s="7"/>
      <x:c r="B85" s="7"/>
      <x:c r="C85" s="26"/>
      <x:c r="D85" s="26"/>
      <x:c r="E85" s="26"/>
      <x:c r="F85" s="26"/>
      <x:c r="G85" s="26"/>
      <x:c r="H85" s="26"/>
      <x:c r="I85" s="26"/>
      <x:c r="J85" s="26"/>
    </x:row>
    <x:row r="86">
      <x:c r="A86" s="7"/>
      <x:c r="B86" s="7"/>
      <x:c r="C86" s="26"/>
      <x:c r="D86" s="26"/>
      <x:c r="E86" s="26"/>
      <x:c r="F86" s="26"/>
      <x:c r="G86" s="26"/>
      <x:c r="H86" s="26"/>
      <x:c r="I86" s="26"/>
      <x:c r="J86" s="26"/>
    </x:row>
    <x:row r="87">
      <x:c r="A87" s="7"/>
      <x:c r="B87" s="7"/>
      <x:c r="C87" s="26"/>
      <x:c r="D87" s="26"/>
      <x:c r="E87" s="26"/>
      <x:c r="F87" s="26"/>
      <x:c r="G87" s="26"/>
      <x:c r="H87" s="26"/>
      <x:c r="I87" s="26"/>
      <x:c r="J87" s="26"/>
    </x:row>
    <x:row r="88">
      <x:c r="A88" s="7"/>
      <x:c r="B88" s="7"/>
      <x:c r="C88" s="26"/>
      <x:c r="D88" s="26"/>
      <x:c r="E88" s="26"/>
      <x:c r="F88" s="26"/>
      <x:c r="G88" s="26"/>
      <x:c r="H88" s="26"/>
      <x:c r="I88" s="26"/>
      <x:c r="J88" s="26"/>
    </x:row>
    <x:row r="89">
      <x:c r="A89" s="7"/>
      <x:c r="B89" s="7"/>
      <x:c r="C89" s="26"/>
      <x:c r="D89" s="26"/>
      <x:c r="E89" s="26"/>
      <x:c r="F89" s="26"/>
      <x:c r="G89" s="26"/>
      <x:c r="H89" s="26"/>
      <x:c r="I89" s="26"/>
      <x:c r="J89" s="26"/>
    </x:row>
    <x:row r="90">
      <x:c r="A90" s="7"/>
      <x:c r="B90" s="7"/>
      <x:c r="C90" s="26"/>
      <x:c r="D90" s="26"/>
      <x:c r="E90" s="26"/>
      <x:c r="F90" s="26"/>
      <x:c r="G90" s="26"/>
      <x:c r="H90" s="26"/>
      <x:c r="I90" s="26"/>
      <x:c r="J90" s="26"/>
    </x:row>
    <x:row r="91">
      <x:c r="A91" s="7"/>
      <x:c r="B91" s="7"/>
      <x:c r="C91" s="26"/>
      <x:c r="D91" s="26"/>
      <x:c r="E91" s="26"/>
      <x:c r="F91" s="26"/>
      <x:c r="G91" s="26"/>
      <x:c r="H91" s="26"/>
      <x:c r="I91" s="26"/>
      <x:c r="J91" s="26"/>
    </x:row>
    <x:row r="92">
      <x:c r="A92" s="7"/>
      <x:c r="B92" s="7"/>
      <x:c r="C92" s="26"/>
      <x:c r="D92" s="26"/>
      <x:c r="E92" s="26"/>
      <x:c r="F92" s="26"/>
      <x:c r="G92" s="26"/>
      <x:c r="H92" s="26"/>
      <x:c r="I92" s="26"/>
      <x:c r="J92" s="26"/>
    </x:row>
    <x:row r="93">
      <x:c r="A93" s="7"/>
      <x:c r="B93" s="7"/>
      <x:c r="C93" s="26"/>
      <x:c r="D93" s="26"/>
      <x:c r="E93" s="26"/>
      <x:c r="F93" s="26"/>
      <x:c r="G93" s="26"/>
      <x:c r="H93" s="26"/>
      <x:c r="I93" s="26"/>
      <x:c r="J93" s="26"/>
    </x:row>
    <x:row r="94">
      <x:c r="A94" s="7"/>
      <x:c r="B94" s="7"/>
      <x:c r="C94" s="26"/>
      <x:c r="D94" s="26"/>
      <x:c r="E94" s="26"/>
      <x:c r="F94" s="26"/>
      <x:c r="G94" s="26"/>
      <x:c r="H94" s="26"/>
      <x:c r="I94" s="26"/>
      <x:c r="J94" s="26"/>
    </x:row>
    <x:row r="95">
      <x:c r="A95" s="7"/>
      <x:c r="B95" s="7"/>
      <x:c r="C95" s="26"/>
      <x:c r="D95" s="26"/>
      <x:c r="E95" s="26"/>
      <x:c r="F95" s="26"/>
      <x:c r="G95" s="26"/>
      <x:c r="H95" s="26"/>
      <x:c r="I95" s="26"/>
      <x:c r="J95" s="26"/>
    </x:row>
    <x:row r="96">
      <x:c r="A96" s="7"/>
      <x:c r="B96" s="7"/>
      <x:c r="C96" s="26"/>
      <x:c r="D96" s="26"/>
      <x:c r="E96" s="26"/>
      <x:c r="F96" s="26"/>
      <x:c r="G96" s="26"/>
      <x:c r="H96" s="26"/>
      <x:c r="I96" s="26"/>
      <x:c r="J96" s="26"/>
    </x:row>
    <x:row r="97">
      <x:c r="A97" s="7"/>
      <x:c r="B97" s="7"/>
      <x:c r="C97" s="26"/>
      <x:c r="D97" s="26"/>
      <x:c r="E97" s="26"/>
      <x:c r="F97" s="26"/>
      <x:c r="G97" s="26"/>
      <x:c r="H97" s="26"/>
      <x:c r="I97" s="26"/>
      <x:c r="J97" s="26"/>
    </x:row>
    <x:row r="98">
      <x:c r="A98" s="7"/>
      <x:c r="B98" s="7"/>
      <x:c r="C98" s="26"/>
      <x:c r="D98" s="26"/>
      <x:c r="E98" s="26"/>
      <x:c r="F98" s="26"/>
      <x:c r="G98" s="26"/>
      <x:c r="H98" s="26"/>
      <x:c r="I98" s="26"/>
      <x:c r="J98" s="26"/>
    </x:row>
    <x:row r="99">
      <x:c r="A99" s="7"/>
      <x:c r="B99" s="7"/>
      <x:c r="C99" s="26"/>
      <x:c r="D99" s="26"/>
      <x:c r="E99" s="26"/>
      <x:c r="F99" s="26"/>
      <x:c r="G99" s="26"/>
      <x:c r="H99" s="26"/>
      <x:c r="I99" s="26"/>
      <x:c r="J99" s="26"/>
    </x:row>
    <x:row r="100">
      <x:c r="A100" s="7"/>
      <x:c r="B100" s="7"/>
      <x:c r="C100" s="26"/>
      <x:c r="D100" s="26"/>
      <x:c r="E100" s="26"/>
      <x:c r="F100" s="26"/>
      <x:c r="G100" s="26"/>
      <x:c r="H100" s="26"/>
      <x:c r="I100" s="26"/>
      <x:c r="J100" s="26"/>
    </x:row>
    <x:row r="101">
      <x:c r="A101" s="7"/>
      <x:c r="B101" s="7"/>
      <x:c r="C101" s="26"/>
      <x:c r="D101" s="26"/>
      <x:c r="E101" s="26"/>
      <x:c r="F101" s="26"/>
      <x:c r="G101" s="26"/>
      <x:c r="H101" s="26"/>
      <x:c r="I101" s="26"/>
      <x:c r="J101" s="26"/>
    </x:row>
    <x:row r="102">
      <x:c r="A102" s="7"/>
      <x:c r="B102" s="7"/>
      <x:c r="C102" s="26"/>
      <x:c r="D102" s="26"/>
      <x:c r="E102" s="26"/>
      <x:c r="F102" s="26"/>
      <x:c r="G102" s="26"/>
      <x:c r="H102" s="26"/>
      <x:c r="I102" s="26"/>
      <x:c r="J102" s="26"/>
    </x:row>
    <x:row r="103">
      <x:c r="A103" s="7"/>
      <x:c r="B103" s="7"/>
      <x:c r="C103" s="26"/>
      <x:c r="D103" s="26"/>
      <x:c r="E103" s="26"/>
      <x:c r="F103" s="26"/>
      <x:c r="G103" s="26"/>
      <x:c r="H103" s="26"/>
      <x:c r="I103" s="26"/>
      <x:c r="J103" s="26"/>
    </x:row>
    <x:row r="104">
      <x:c r="A104" s="7"/>
      <x:c r="B104" s="7"/>
      <x:c r="C104" s="26"/>
      <x:c r="D104" s="26"/>
      <x:c r="E104" s="26"/>
      <x:c r="F104" s="26"/>
      <x:c r="G104" s="26"/>
      <x:c r="H104" s="26"/>
      <x:c r="I104" s="26"/>
      <x:c r="J104" s="26"/>
    </x:row>
    <x:row r="105">
      <x:c r="A105" s="7"/>
      <x:c r="B105" s="7"/>
      <x:c r="C105" s="26"/>
      <x:c r="D105" s="26"/>
      <x:c r="E105" s="26"/>
      <x:c r="F105" s="26"/>
      <x:c r="G105" s="26"/>
      <x:c r="H105" s="26"/>
      <x:c r="I105" s="26"/>
      <x:c r="J105" s="26"/>
    </x:row>
    <x:row r="106">
      <x:c r="A106" s="7"/>
      <x:c r="B106" s="7"/>
      <x:c r="C106" s="26"/>
      <x:c r="D106" s="26"/>
      <x:c r="E106" s="26"/>
      <x:c r="F106" s="26"/>
      <x:c r="G106" s="26"/>
      <x:c r="H106" s="26"/>
      <x:c r="I106" s="26"/>
      <x:c r="J106" s="26"/>
    </x:row>
    <x:row r="107">
      <x:c r="A107" s="7"/>
      <x:c r="B107" s="7"/>
      <x:c r="C107" s="26"/>
      <x:c r="D107" s="26"/>
      <x:c r="E107" s="26"/>
      <x:c r="F107" s="26"/>
      <x:c r="G107" s="26"/>
      <x:c r="H107" s="26"/>
      <x:c r="I107" s="26"/>
      <x:c r="J107" s="26"/>
    </x:row>
    <x:row r="108">
      <x:c r="A108" s="7"/>
      <x:c r="B108" s="7"/>
      <x:c r="C108" s="26"/>
      <x:c r="D108" s="26"/>
      <x:c r="E108" s="26"/>
      <x:c r="F108" s="26"/>
      <x:c r="G108" s="26"/>
      <x:c r="H108" s="26"/>
      <x:c r="I108" s="26"/>
      <x:c r="J108" s="26"/>
    </x:row>
    <x:row r="109">
      <x:c r="A109" s="7"/>
      <x:c r="B109" s="7"/>
      <x:c r="C109" s="26"/>
      <x:c r="D109" s="26"/>
      <x:c r="E109" s="26"/>
      <x:c r="F109" s="26"/>
      <x:c r="G109" s="26"/>
      <x:c r="H109" s="26"/>
      <x:c r="I109" s="26"/>
      <x:c r="J109" s="26"/>
    </x:row>
    <x:row r="110">
      <x:c r="A110" s="7"/>
      <x:c r="B110" s="7"/>
      <x:c r="C110" s="26"/>
      <x:c r="D110" s="26"/>
      <x:c r="E110" s="26"/>
      <x:c r="F110" s="26"/>
      <x:c r="G110" s="26"/>
      <x:c r="H110" s="26"/>
      <x:c r="I110" s="26"/>
      <x:c r="J110" s="26"/>
    </x:row>
    <x:row r="111">
      <x:c r="A111" s="7"/>
      <x:c r="B111" s="7"/>
      <x:c r="C111" s="26"/>
      <x:c r="D111" s="26"/>
      <x:c r="E111" s="26"/>
      <x:c r="F111" s="26"/>
      <x:c r="G111" s="26"/>
      <x:c r="H111" s="26"/>
      <x:c r="I111" s="26"/>
      <x:c r="J111" s="26"/>
    </x:row>
    <x:row r="112">
      <x:c r="A112" s="7"/>
      <x:c r="B112" s="7"/>
      <x:c r="C112" s="26"/>
      <x:c r="D112" s="26"/>
      <x:c r="E112" s="26"/>
      <x:c r="F112" s="26"/>
      <x:c r="G112" s="26"/>
      <x:c r="H112" s="26"/>
      <x:c r="I112" s="26"/>
      <x:c r="J112" s="26"/>
    </x:row>
    <x:row r="113">
      <x:c r="A113" s="7"/>
      <x:c r="B113" s="7"/>
      <x:c r="C113" s="26"/>
      <x:c r="D113" s="26"/>
      <x:c r="E113" s="26"/>
      <x:c r="F113" s="26"/>
      <x:c r="G113" s="26"/>
      <x:c r="H113" s="26"/>
      <x:c r="I113" s="26"/>
      <x:c r="J113" s="26"/>
    </x:row>
    <x:row r="114">
      <x:c r="A114" s="7"/>
      <x:c r="B114" s="7"/>
      <x:c r="C114" s="26"/>
      <x:c r="D114" s="26"/>
      <x:c r="E114" s="26"/>
      <x:c r="F114" s="26"/>
      <x:c r="G114" s="26"/>
      <x:c r="H114" s="26"/>
      <x:c r="I114" s="26"/>
      <x:c r="J114" s="26"/>
    </x:row>
    <x:row r="115">
      <x:c r="A115" s="7"/>
      <x:c r="B115" s="7"/>
      <x:c r="C115" s="26"/>
      <x:c r="D115" s="26"/>
      <x:c r="E115" s="26"/>
      <x:c r="F115" s="26"/>
      <x:c r="G115" s="26"/>
      <x:c r="H115" s="26"/>
      <x:c r="I115" s="26"/>
      <x:c r="J115" s="26"/>
    </x:row>
    <x:row r="116">
      <x:c r="A116" s="7"/>
      <x:c r="B116" s="7"/>
      <x:c r="C116" s="26"/>
      <x:c r="D116" s="26"/>
      <x:c r="E116" s="26"/>
      <x:c r="F116" s="26"/>
      <x:c r="G116" s="26"/>
      <x:c r="H116" s="26"/>
      <x:c r="I116" s="26"/>
      <x:c r="J116" s="26"/>
    </x:row>
    <x:row r="117">
      <x:c r="A117" s="7"/>
      <x:c r="B117" s="7"/>
      <x:c r="C117" s="26"/>
      <x:c r="D117" s="26"/>
      <x:c r="E117" s="26"/>
      <x:c r="F117" s="26"/>
      <x:c r="G117" s="26"/>
      <x:c r="H117" s="26"/>
      <x:c r="I117" s="26"/>
      <x:c r="J117" s="26"/>
    </x:row>
    <x:row r="118">
      <x:c r="A118" s="7"/>
      <x:c r="B118" s="7"/>
      <x:c r="C118" s="26"/>
      <x:c r="D118" s="26"/>
      <x:c r="E118" s="26"/>
      <x:c r="F118" s="26"/>
      <x:c r="G118" s="26"/>
      <x:c r="H118" s="26"/>
      <x:c r="I118" s="26"/>
      <x:c r="J118" s="26"/>
    </x:row>
    <x:row r="119">
      <x:c r="A119" s="7"/>
      <x:c r="B119" s="7"/>
      <x:c r="C119" s="26"/>
      <x:c r="D119" s="26"/>
      <x:c r="E119" s="26"/>
      <x:c r="F119" s="26"/>
      <x:c r="G119" s="26"/>
      <x:c r="H119" s="26"/>
      <x:c r="I119" s="26"/>
      <x:c r="J119" s="26"/>
    </x:row>
    <x:row r="120">
      <x:c r="A120" s="7"/>
      <x:c r="B120" s="7"/>
      <x:c r="C120" s="26"/>
      <x:c r="D120" s="26"/>
      <x:c r="E120" s="26"/>
      <x:c r="F120" s="26"/>
      <x:c r="G120" s="26"/>
      <x:c r="H120" s="26"/>
      <x:c r="I120" s="26"/>
      <x:c r="J120" s="26"/>
    </x:row>
    <x:row r="121">
      <x:c r="A121" s="7"/>
      <x:c r="B121" s="7"/>
      <x:c r="C121" s="26"/>
      <x:c r="D121" s="26"/>
      <x:c r="E121" s="26"/>
      <x:c r="F121" s="26"/>
      <x:c r="G121" s="26"/>
      <x:c r="H121" s="26"/>
      <x:c r="I121" s="26"/>
      <x:c r="J121" s="26"/>
    </x:row>
    <x:row r="122">
      <x:c r="A122" s="7"/>
      <x:c r="B122" s="7"/>
      <x:c r="C122" s="26"/>
      <x:c r="D122" s="26"/>
      <x:c r="E122" s="26"/>
      <x:c r="F122" s="26"/>
      <x:c r="G122" s="26"/>
      <x:c r="H122" s="26"/>
      <x:c r="I122" s="26"/>
      <x:c r="J122" s="26"/>
    </x:row>
    <x:row r="123">
      <x:c r="A123" s="7"/>
      <x:c r="B123" s="7"/>
      <x:c r="C123" s="26"/>
      <x:c r="D123" s="26"/>
      <x:c r="E123" s="26"/>
      <x:c r="F123" s="26"/>
      <x:c r="G123" s="26"/>
      <x:c r="H123" s="26"/>
      <x:c r="I123" s="26"/>
      <x:c r="J123" s="26"/>
    </x:row>
    <x:row r="124">
      <x:c r="A124" s="7"/>
      <x:c r="B124" s="7"/>
      <x:c r="C124" s="26"/>
      <x:c r="D124" s="26"/>
      <x:c r="E124" s="26"/>
      <x:c r="F124" s="26"/>
      <x:c r="G124" s="26"/>
      <x:c r="H124" s="26"/>
      <x:c r="I124" s="26"/>
      <x:c r="J124" s="26"/>
    </x:row>
    <x:row r="125">
      <x:c r="A125" s="7"/>
      <x:c r="B125" s="7"/>
      <x:c r="C125" s="26"/>
      <x:c r="D125" s="26"/>
      <x:c r="E125" s="26"/>
      <x:c r="F125" s="26"/>
      <x:c r="G125" s="26"/>
      <x:c r="H125" s="26"/>
      <x:c r="I125" s="26"/>
      <x:c r="J125" s="26"/>
    </x:row>
    <x:row r="126">
      <x:c r="A126" s="7"/>
      <x:c r="B126" s="7"/>
      <x:c r="C126" s="26"/>
      <x:c r="D126" s="26"/>
      <x:c r="E126" s="26"/>
      <x:c r="F126" s="26"/>
      <x:c r="G126" s="26"/>
      <x:c r="H126" s="26"/>
      <x:c r="I126" s="26"/>
      <x:c r="J126" s="26"/>
    </x:row>
    <x:row r="127">
      <x:c r="A127" s="7"/>
      <x:c r="B127" s="7"/>
      <x:c r="C127" s="26"/>
      <x:c r="D127" s="26"/>
      <x:c r="E127" s="26"/>
      <x:c r="F127" s="26"/>
      <x:c r="G127" s="26"/>
      <x:c r="H127" s="26"/>
      <x:c r="I127" s="26"/>
      <x:c r="J127" s="26"/>
    </x:row>
    <x:row r="128">
      <x:c r="A128" s="7"/>
      <x:c r="B128" s="7"/>
      <x:c r="C128" s="26"/>
      <x:c r="D128" s="26"/>
      <x:c r="E128" s="26"/>
      <x:c r="F128" s="26"/>
      <x:c r="G128" s="26"/>
      <x:c r="H128" s="26"/>
      <x:c r="I128" s="26"/>
      <x:c r="J128" s="26"/>
    </x:row>
    <x:row r="129">
      <x:c r="A129" s="7"/>
      <x:c r="B129" s="7"/>
      <x:c r="C129" s="26"/>
      <x:c r="D129" s="26"/>
      <x:c r="E129" s="26"/>
      <x:c r="F129" s="26"/>
      <x:c r="G129" s="26"/>
      <x:c r="H129" s="26"/>
      <x:c r="I129" s="26"/>
      <x:c r="J129" s="26"/>
    </x:row>
    <x:row r="130">
      <x:c r="A130" s="7"/>
      <x:c r="B130" s="7"/>
      <x:c r="C130" s="26"/>
      <x:c r="D130" s="26"/>
      <x:c r="E130" s="26"/>
      <x:c r="F130" s="26"/>
      <x:c r="G130" s="26"/>
      <x:c r="H130" s="26"/>
      <x:c r="I130" s="26"/>
      <x:c r="J130" s="26"/>
    </x:row>
    <x:row r="131">
      <x:c r="A131" s="7"/>
      <x:c r="B131" s="7"/>
      <x:c r="C131" s="26"/>
      <x:c r="D131" s="26"/>
      <x:c r="E131" s="26"/>
      <x:c r="F131" s="26"/>
      <x:c r="G131" s="26"/>
      <x:c r="H131" s="26"/>
      <x:c r="I131" s="26"/>
      <x:c r="J131" s="26"/>
    </x:row>
    <x:row r="132">
      <x:c r="A132" s="7"/>
      <x:c r="B132" s="7"/>
      <x:c r="C132" s="26"/>
      <x:c r="D132" s="26"/>
      <x:c r="E132" s="26"/>
      <x:c r="F132" s="26"/>
      <x:c r="G132" s="26"/>
      <x:c r="H132" s="26"/>
      <x:c r="I132" s="26"/>
      <x:c r="J132" s="26"/>
    </x:row>
    <x:row r="133">
      <x:c r="A133" s="7"/>
      <x:c r="B133" s="7"/>
      <x:c r="C133" s="26"/>
      <x:c r="D133" s="26"/>
      <x:c r="E133" s="26"/>
      <x:c r="F133" s="26"/>
      <x:c r="G133" s="26"/>
      <x:c r="H133" s="26"/>
      <x:c r="I133" s="26"/>
      <x:c r="J133" s="26"/>
    </x:row>
    <x:row r="134">
      <x:c r="A134" s="7"/>
      <x:c r="B134" s="7"/>
      <x:c r="C134" s="26"/>
      <x:c r="D134" s="26"/>
      <x:c r="E134" s="26"/>
      <x:c r="F134" s="26"/>
      <x:c r="G134" s="26"/>
      <x:c r="H134" s="26"/>
      <x:c r="I134" s="26"/>
      <x:c r="J134" s="26"/>
    </x:row>
    <x:row r="135">
      <x:c r="A135" s="7"/>
      <x:c r="B135" s="7"/>
      <x:c r="C135" s="26"/>
      <x:c r="D135" s="26"/>
      <x:c r="E135" s="26"/>
      <x:c r="F135" s="26"/>
      <x:c r="G135" s="26"/>
      <x:c r="H135" s="26"/>
      <x:c r="I135" s="26"/>
      <x:c r="J135" s="26"/>
    </x:row>
    <x:row r="136">
      <x:c r="A136" s="7"/>
      <x:c r="B136" s="7"/>
      <x:c r="C136" s="26"/>
      <x:c r="D136" s="26"/>
      <x:c r="E136" s="26"/>
      <x:c r="F136" s="26"/>
      <x:c r="G136" s="26"/>
      <x:c r="H136" s="26"/>
      <x:c r="I136" s="26"/>
      <x:c r="J136" s="26"/>
    </x:row>
    <x:row r="137">
      <x:c r="A137" s="7"/>
      <x:c r="B137" s="7"/>
      <x:c r="C137" s="26"/>
      <x:c r="D137" s="26"/>
      <x:c r="E137" s="26"/>
      <x:c r="F137" s="26"/>
      <x:c r="G137" s="26"/>
      <x:c r="H137" s="26"/>
      <x:c r="I137" s="26"/>
      <x:c r="J137" s="26"/>
    </x:row>
    <x:row r="138">
      <x:c r="A138" s="7"/>
      <x:c r="B138" s="7"/>
      <x:c r="C138" s="26"/>
      <x:c r="D138" s="26"/>
      <x:c r="E138" s="26"/>
      <x:c r="F138" s="26"/>
      <x:c r="G138" s="26"/>
      <x:c r="H138" s="26"/>
      <x:c r="I138" s="26"/>
      <x:c r="J138" s="26"/>
    </x:row>
    <x:row r="139">
      <x:c r="A139" s="7"/>
      <x:c r="B139" s="7"/>
      <x:c r="C139" s="26"/>
      <x:c r="D139" s="26"/>
      <x:c r="E139" s="26"/>
      <x:c r="F139" s="26"/>
      <x:c r="G139" s="26"/>
      <x:c r="H139" s="26"/>
      <x:c r="I139" s="26"/>
      <x:c r="J139" s="26"/>
    </x:row>
    <x:row r="140">
      <x:c r="A140" s="7"/>
      <x:c r="B140" s="7"/>
      <x:c r="C140" s="26"/>
      <x:c r="D140" s="26"/>
      <x:c r="E140" s="26"/>
      <x:c r="F140" s="26"/>
      <x:c r="G140" s="26"/>
      <x:c r="H140" s="26"/>
      <x:c r="I140" s="26"/>
      <x:c r="J140" s="26"/>
    </x:row>
    <x:row r="141">
      <x:c r="A141" s="7"/>
      <x:c r="B141" s="7"/>
      <x:c r="C141" s="26"/>
      <x:c r="D141" s="26"/>
      <x:c r="E141" s="26"/>
      <x:c r="F141" s="26"/>
      <x:c r="G141" s="26"/>
      <x:c r="H141" s="26"/>
      <x:c r="I141" s="26"/>
      <x:c r="J141" s="26"/>
    </x:row>
    <x:row r="142">
      <x:c r="A142" s="7"/>
      <x:c r="B142" s="7"/>
      <x:c r="C142" s="26"/>
      <x:c r="D142" s="26"/>
      <x:c r="E142" s="26"/>
      <x:c r="F142" s="26"/>
      <x:c r="G142" s="26"/>
      <x:c r="H142" s="26"/>
      <x:c r="I142" s="26"/>
      <x:c r="J142" s="26"/>
    </x:row>
    <x:row r="143">
      <x:c r="A143" s="7"/>
      <x:c r="B143" s="7"/>
      <x:c r="C143" s="26"/>
      <x:c r="D143" s="26"/>
      <x:c r="E143" s="26"/>
      <x:c r="F143" s="26"/>
      <x:c r="G143" s="26"/>
      <x:c r="H143" s="26"/>
      <x:c r="I143" s="26"/>
      <x:c r="J143" s="26"/>
    </x:row>
    <x:row r="144">
      <x:c r="A144" s="7"/>
      <x:c r="B144" s="7"/>
      <x:c r="C144" s="26"/>
      <x:c r="D144" s="26"/>
      <x:c r="E144" s="26"/>
      <x:c r="F144" s="26"/>
      <x:c r="G144" s="26"/>
      <x:c r="H144" s="26"/>
      <x:c r="I144" s="26"/>
      <x:c r="J144" s="26"/>
    </x:row>
    <x:row r="145">
      <x:c r="A145" s="7"/>
      <x:c r="B145" s="7"/>
      <x:c r="C145" s="26"/>
      <x:c r="D145" s="26"/>
      <x:c r="E145" s="26"/>
      <x:c r="F145" s="26"/>
      <x:c r="G145" s="26"/>
      <x:c r="H145" s="26"/>
      <x:c r="I145" s="26"/>
      <x:c r="J145" s="26"/>
    </x:row>
    <x:row r="146">
      <x:c r="A146" s="7"/>
      <x:c r="B146" s="7"/>
      <x:c r="C146" s="26"/>
      <x:c r="D146" s="26"/>
      <x:c r="E146" s="26"/>
      <x:c r="F146" s="26"/>
      <x:c r="G146" s="26"/>
      <x:c r="H146" s="26"/>
      <x:c r="I146" s="26"/>
      <x:c r="J146" s="26"/>
    </x:row>
    <x:row r="147">
      <x:c r="A147" s="7"/>
      <x:c r="B147" s="7"/>
      <x:c r="C147" s="26"/>
      <x:c r="D147" s="26"/>
      <x:c r="E147" s="26"/>
      <x:c r="F147" s="26"/>
      <x:c r="G147" s="26"/>
      <x:c r="H147" s="26"/>
      <x:c r="I147" s="26"/>
      <x:c r="J147" s="26"/>
    </x:row>
    <x:row r="148">
      <x:c r="A148" s="7"/>
      <x:c r="B148" s="7"/>
      <x:c r="C148" s="26"/>
      <x:c r="D148" s="26"/>
      <x:c r="E148" s="26"/>
      <x:c r="F148" s="26"/>
      <x:c r="G148" s="26"/>
      <x:c r="H148" s="26"/>
      <x:c r="I148" s="26"/>
      <x:c r="J148" s="26"/>
    </x:row>
    <x:row r="149">
      <x:c r="A149" s="7"/>
      <x:c r="B149" s="7"/>
      <x:c r="C149" s="26"/>
      <x:c r="D149" s="26"/>
      <x:c r="E149" s="26"/>
      <x:c r="F149" s="26"/>
      <x:c r="G149" s="26"/>
      <x:c r="H149" s="26"/>
      <x:c r="I149" s="26"/>
      <x:c r="J149" s="26"/>
    </x:row>
    <x:row r="150">
      <x:c r="A150" s="7"/>
      <x:c r="B150" s="7"/>
      <x:c r="C150" s="26"/>
      <x:c r="D150" s="26"/>
      <x:c r="E150" s="26"/>
      <x:c r="F150" s="26"/>
      <x:c r="G150" s="26"/>
      <x:c r="H150" s="26"/>
      <x:c r="I150" s="26"/>
      <x:c r="J150" s="26"/>
    </x:row>
    <x:row r="151">
      <x:c r="A151" s="7"/>
      <x:c r="B151" s="7"/>
      <x:c r="C151" s="26"/>
      <x:c r="D151" s="26"/>
      <x:c r="E151" s="26"/>
      <x:c r="F151" s="26"/>
      <x:c r="G151" s="26"/>
      <x:c r="H151" s="26"/>
      <x:c r="I151" s="26"/>
      <x:c r="J151" s="26"/>
    </x:row>
    <x:row r="152">
      <x:c r="A152" s="7"/>
      <x:c r="B152" s="7"/>
      <x:c r="C152" s="26"/>
      <x:c r="D152" s="26"/>
      <x:c r="E152" s="26"/>
      <x:c r="F152" s="26"/>
      <x:c r="G152" s="26"/>
      <x:c r="H152" s="26"/>
      <x:c r="I152" s="26"/>
      <x:c r="J152" s="26"/>
    </x:row>
    <x:row r="153">
      <x:c r="A153" s="7"/>
      <x:c r="B153" s="7"/>
      <x:c r="C153" s="26"/>
      <x:c r="D153" s="26"/>
      <x:c r="E153" s="26"/>
      <x:c r="F153" s="26"/>
      <x:c r="G153" s="26"/>
      <x:c r="H153" s="26"/>
      <x:c r="I153" s="26"/>
      <x:c r="J153" s="26"/>
    </x:row>
    <x:row r="154">
      <x:c r="A154" s="7"/>
      <x:c r="B154" s="7"/>
      <x:c r="C154" s="26"/>
      <x:c r="D154" s="26"/>
      <x:c r="E154" s="26"/>
      <x:c r="F154" s="26"/>
      <x:c r="G154" s="26"/>
      <x:c r="H154" s="26"/>
      <x:c r="I154" s="26"/>
      <x:c r="J154" s="26"/>
    </x:row>
    <x:row r="155">
      <x:c r="A155" s="7"/>
      <x:c r="B155" s="7"/>
      <x:c r="C155" s="26"/>
      <x:c r="D155" s="26"/>
      <x:c r="E155" s="26"/>
      <x:c r="F155" s="26"/>
      <x:c r="G155" s="26"/>
      <x:c r="H155" s="26"/>
      <x:c r="I155" s="26"/>
      <x:c r="J155" s="26"/>
    </x:row>
    <x:row r="156">
      <x:c r="A156" s="7"/>
      <x:c r="B156" s="7"/>
      <x:c r="C156" s="26"/>
      <x:c r="D156" s="26"/>
      <x:c r="E156" s="26"/>
      <x:c r="F156" s="26"/>
      <x:c r="G156" s="26"/>
      <x:c r="H156" s="26"/>
      <x:c r="I156" s="26"/>
      <x:c r="J156" s="26"/>
    </x:row>
    <x:row r="157">
      <x:c r="A157" s="7"/>
      <x:c r="B157" s="7"/>
      <x:c r="C157" s="26"/>
      <x:c r="D157" s="26"/>
      <x:c r="E157" s="26"/>
      <x:c r="F157" s="26"/>
      <x:c r="G157" s="26"/>
      <x:c r="H157" s="26"/>
      <x:c r="I157" s="26"/>
      <x:c r="J157" s="26"/>
    </x:row>
    <x:row r="158">
      <x:c r="A158" s="7"/>
      <x:c r="B158" s="7"/>
      <x:c r="C158" s="26"/>
      <x:c r="D158" s="26"/>
      <x:c r="E158" s="26"/>
      <x:c r="F158" s="26"/>
      <x:c r="G158" s="26"/>
      <x:c r="H158" s="26"/>
      <x:c r="I158" s="26"/>
      <x:c r="J158" s="26"/>
    </x:row>
    <x:row r="159">
      <x:c r="A159" s="7"/>
      <x:c r="B159" s="7"/>
      <x:c r="C159" s="26"/>
      <x:c r="D159" s="26"/>
      <x:c r="E159" s="26"/>
      <x:c r="F159" s="26"/>
      <x:c r="G159" s="26"/>
      <x:c r="H159" s="26"/>
      <x:c r="I159" s="26"/>
      <x:c r="J159" s="26"/>
    </x:row>
    <x:row r="160">
      <x:c r="A160" s="7"/>
      <x:c r="B160" s="7"/>
      <x:c r="C160" s="26"/>
      <x:c r="D160" s="26"/>
      <x:c r="E160" s="26"/>
      <x:c r="F160" s="26"/>
      <x:c r="G160" s="26"/>
      <x:c r="H160" s="26"/>
      <x:c r="I160" s="26"/>
      <x:c r="J160" s="26"/>
    </x:row>
    <x:row r="161">
      <x:c r="A161" s="7"/>
      <x:c r="B161" s="7"/>
      <x:c r="C161" s="26"/>
      <x:c r="D161" s="26"/>
      <x:c r="E161" s="26"/>
      <x:c r="F161" s="26"/>
      <x:c r="G161" s="26"/>
      <x:c r="H161" s="26"/>
      <x:c r="I161" s="26"/>
      <x:c r="J161" s="26"/>
    </x:row>
    <x:row r="162">
      <x:c r="A162" s="7"/>
      <x:c r="B162" s="7"/>
      <x:c r="C162" s="26"/>
      <x:c r="D162" s="26"/>
      <x:c r="E162" s="26"/>
      <x:c r="F162" s="26"/>
      <x:c r="G162" s="26"/>
      <x:c r="H162" s="26"/>
      <x:c r="I162" s="26"/>
      <x:c r="J162" s="26"/>
    </x:row>
    <x:row r="163">
      <x:c r="A163" s="7"/>
      <x:c r="B163" s="7"/>
      <x:c r="C163" s="26"/>
      <x:c r="D163" s="26"/>
      <x:c r="E163" s="26"/>
      <x:c r="F163" s="26"/>
      <x:c r="G163" s="26"/>
      <x:c r="H163" s="26"/>
      <x:c r="I163" s="26"/>
      <x:c r="J163" s="26"/>
    </x:row>
    <x:row r="164">
      <x:c r="A164" s="7"/>
      <x:c r="B164" s="7"/>
      <x:c r="C164" s="26"/>
      <x:c r="D164" s="26"/>
      <x:c r="E164" s="26"/>
      <x:c r="F164" s="26"/>
      <x:c r="G164" s="26"/>
      <x:c r="H164" s="26"/>
      <x:c r="I164" s="26"/>
      <x:c r="J164" s="26"/>
    </x:row>
    <x:row r="165">
      <x:c r="A165" s="7"/>
      <x:c r="B165" s="7"/>
      <x:c r="C165" s="26"/>
      <x:c r="D165" s="26"/>
      <x:c r="E165" s="26"/>
      <x:c r="F165" s="26"/>
      <x:c r="G165" s="26"/>
      <x:c r="H165" s="26"/>
      <x:c r="I165" s="26"/>
      <x:c r="J165" s="26"/>
    </x:row>
    <x:row r="166">
      <x:c r="A166" s="7"/>
      <x:c r="B166" s="7"/>
      <x:c r="C166" s="26"/>
      <x:c r="D166" s="26"/>
      <x:c r="E166" s="26"/>
      <x:c r="F166" s="26"/>
      <x:c r="G166" s="26"/>
      <x:c r="H166" s="26"/>
      <x:c r="I166" s="26"/>
      <x:c r="J166" s="26"/>
    </x:row>
    <x:row r="167">
      <x:c r="A167" s="7"/>
      <x:c r="B167" s="7"/>
      <x:c r="C167" s="26"/>
      <x:c r="D167" s="26"/>
      <x:c r="E167" s="26"/>
      <x:c r="F167" s="26"/>
      <x:c r="G167" s="26"/>
      <x:c r="H167" s="26"/>
      <x:c r="I167" s="26"/>
      <x:c r="J167" s="26"/>
    </x:row>
    <x:row r="168">
      <x:c r="A168" s="7"/>
      <x:c r="B168" s="7"/>
      <x:c r="C168" s="26"/>
      <x:c r="D168" s="26"/>
      <x:c r="E168" s="26"/>
      <x:c r="F168" s="26"/>
      <x:c r="G168" s="26"/>
      <x:c r="H168" s="26"/>
      <x:c r="I168" s="26"/>
      <x:c r="J168" s="26"/>
    </x:row>
    <x:row r="169">
      <x:c r="A169" s="7"/>
      <x:c r="B169" s="7"/>
      <x:c r="C169" s="26"/>
      <x:c r="D169" s="26"/>
      <x:c r="E169" s="26"/>
      <x:c r="F169" s="26"/>
      <x:c r="G169" s="26"/>
      <x:c r="H169" s="26"/>
      <x:c r="I169" s="26"/>
      <x:c r="J169" s="26"/>
    </x:row>
    <x:row r="170">
      <x:c r="A170" s="7"/>
      <x:c r="B170" s="7"/>
      <x:c r="C170" s="26"/>
      <x:c r="D170" s="26"/>
      <x:c r="E170" s="26"/>
      <x:c r="F170" s="26"/>
      <x:c r="G170" s="26"/>
      <x:c r="H170" s="26"/>
      <x:c r="I170" s="26"/>
      <x:c r="J170" s="26"/>
    </x:row>
    <x:row r="171">
      <x:c r="A171" s="7"/>
      <x:c r="B171" s="7"/>
      <x:c r="C171" s="26"/>
      <x:c r="D171" s="26"/>
      <x:c r="E171" s="26"/>
      <x:c r="F171" s="26"/>
      <x:c r="G171" s="26"/>
      <x:c r="H171" s="26"/>
      <x:c r="I171" s="26"/>
      <x:c r="J171" s="26"/>
    </x:row>
    <x:row r="172">
      <x:c r="A172" s="7"/>
      <x:c r="B172" s="7"/>
      <x:c r="C172" s="26"/>
      <x:c r="D172" s="26"/>
      <x:c r="E172" s="26"/>
      <x:c r="F172" s="26"/>
      <x:c r="G172" s="26"/>
      <x:c r="H172" s="26"/>
      <x:c r="I172" s="26"/>
      <x:c r="J172" s="26"/>
    </x:row>
    <x:row r="173">
      <x:c r="A173" s="7"/>
      <x:c r="B173" s="7"/>
      <x:c r="C173" s="26"/>
      <x:c r="D173" s="26"/>
      <x:c r="E173" s="26"/>
      <x:c r="F173" s="26"/>
      <x:c r="G173" s="26"/>
      <x:c r="H173" s="26"/>
      <x:c r="I173" s="26"/>
      <x:c r="J173" s="26"/>
    </x:row>
    <x:row r="174">
      <x:c r="A174" s="7"/>
      <x:c r="B174" s="7"/>
      <x:c r="C174" s="26"/>
      <x:c r="D174" s="26"/>
      <x:c r="E174" s="26"/>
      <x:c r="F174" s="26"/>
      <x:c r="G174" s="26"/>
      <x:c r="H174" s="26"/>
      <x:c r="I174" s="26"/>
      <x:c r="J174" s="26"/>
    </x:row>
    <x:row r="175">
      <x:c r="A175" s="7"/>
      <x:c r="B175" s="7"/>
      <x:c r="C175" s="26"/>
      <x:c r="D175" s="26"/>
      <x:c r="E175" s="26"/>
      <x:c r="F175" s="26"/>
      <x:c r="G175" s="26"/>
      <x:c r="H175" s="26"/>
      <x:c r="I175" s="26"/>
      <x:c r="J175" s="26"/>
    </x:row>
    <x:row r="176">
      <x:c r="A176" s="7"/>
      <x:c r="B176" s="7"/>
      <x:c r="C176" s="26"/>
      <x:c r="D176" s="26"/>
      <x:c r="E176" s="26"/>
      <x:c r="F176" s="26"/>
      <x:c r="G176" s="26"/>
      <x:c r="H176" s="26"/>
      <x:c r="I176" s="26"/>
      <x:c r="J176" s="26"/>
    </x:row>
    <x:row r="177">
      <x:c r="A177" s="7"/>
      <x:c r="B177" s="7"/>
      <x:c r="C177" s="26"/>
      <x:c r="D177" s="26"/>
      <x:c r="E177" s="26"/>
      <x:c r="F177" s="26"/>
      <x:c r="G177" s="26"/>
      <x:c r="H177" s="26"/>
      <x:c r="I177" s="26"/>
      <x:c r="J177" s="26"/>
    </x:row>
    <x:row r="178">
      <x:c r="A178" s="7"/>
      <x:c r="B178" s="7"/>
      <x:c r="C178" s="26"/>
      <x:c r="D178" s="26"/>
      <x:c r="E178" s="26"/>
      <x:c r="F178" s="26"/>
      <x:c r="G178" s="26"/>
      <x:c r="H178" s="26"/>
      <x:c r="I178" s="26"/>
      <x:c r="J178" s="26"/>
    </x:row>
    <x:row r="179">
      <x:c r="A179" s="7"/>
      <x:c r="B179" s="7"/>
      <x:c r="C179" s="26"/>
      <x:c r="D179" s="26"/>
      <x:c r="E179" s="26"/>
      <x:c r="F179" s="26"/>
      <x:c r="G179" s="26"/>
      <x:c r="H179" s="26"/>
      <x:c r="I179" s="26"/>
      <x:c r="J179" s="26"/>
    </x:row>
    <x:row r="180">
      <x:c r="A180" s="7"/>
      <x:c r="B180" s="7"/>
      <x:c r="C180" s="26"/>
      <x:c r="D180" s="26"/>
      <x:c r="E180" s="26"/>
      <x:c r="F180" s="26"/>
      <x:c r="G180" s="26"/>
      <x:c r="H180" s="26"/>
      <x:c r="I180" s="26"/>
      <x:c r="J180" s="26"/>
    </x:row>
    <x:row r="181">
      <x:c r="A181" s="7"/>
      <x:c r="B181" s="7"/>
      <x:c r="C181" s="26"/>
      <x:c r="D181" s="26"/>
      <x:c r="E181" s="26"/>
      <x:c r="F181" s="26"/>
      <x:c r="G181" s="26"/>
      <x:c r="H181" s="26"/>
      <x:c r="I181" s="26"/>
      <x:c r="J181" s="26"/>
    </x:row>
    <x:row r="182">
      <x:c r="A182" s="7"/>
      <x:c r="B182" s="7"/>
      <x:c r="C182" s="26"/>
      <x:c r="D182" s="26"/>
      <x:c r="E182" s="26"/>
      <x:c r="F182" s="26"/>
      <x:c r="G182" s="26"/>
      <x:c r="H182" s="26"/>
      <x:c r="I182" s="26"/>
      <x:c r="J182" s="26"/>
    </x:row>
    <x:row r="183">
      <x:c r="A183" s="7"/>
      <x:c r="B183" s="7"/>
      <x:c r="C183" s="26"/>
      <x:c r="D183" s="26"/>
      <x:c r="E183" s="26"/>
      <x:c r="F183" s="26"/>
      <x:c r="G183" s="26"/>
      <x:c r="H183" s="26"/>
      <x:c r="I183" s="26"/>
      <x:c r="J183" s="26"/>
    </x:row>
    <x:row r="184">
      <x:c r="A184" s="7"/>
      <x:c r="B184" s="7"/>
      <x:c r="C184" s="26"/>
      <x:c r="D184" s="26"/>
      <x:c r="E184" s="26"/>
      <x:c r="F184" s="26"/>
      <x:c r="G184" s="26"/>
      <x:c r="H184" s="26"/>
      <x:c r="I184" s="26"/>
      <x:c r="J184" s="26"/>
    </x:row>
    <x:row r="185">
      <x:c r="A185" s="7"/>
      <x:c r="B185" s="7"/>
      <x:c r="C185" s="26"/>
      <x:c r="D185" s="26"/>
      <x:c r="E185" s="26"/>
      <x:c r="F185" s="26"/>
      <x:c r="G185" s="26"/>
      <x:c r="H185" s="26"/>
      <x:c r="I185" s="26"/>
      <x:c r="J185" s="26"/>
    </x:row>
    <x:row r="186">
      <x:c r="A186" s="7"/>
      <x:c r="B186" s="7"/>
      <x:c r="C186" s="26"/>
      <x:c r="D186" s="26"/>
      <x:c r="E186" s="26"/>
      <x:c r="F186" s="26"/>
      <x:c r="G186" s="26"/>
      <x:c r="H186" s="26"/>
      <x:c r="I186" s="26"/>
      <x:c r="J186" s="26"/>
    </x:row>
    <x:row r="187">
      <x:c r="A187" s="7"/>
      <x:c r="B187" s="7"/>
      <x:c r="C187" s="26"/>
      <x:c r="D187" s="26"/>
      <x:c r="E187" s="26"/>
      <x:c r="F187" s="26"/>
      <x:c r="G187" s="26"/>
      <x:c r="H187" s="26"/>
      <x:c r="I187" s="26"/>
      <x:c r="J187" s="26"/>
    </x:row>
    <x:row r="188">
      <x:c r="A188" s="7"/>
      <x:c r="B188" s="7"/>
      <x:c r="C188" s="26"/>
      <x:c r="D188" s="26"/>
      <x:c r="E188" s="26"/>
      <x:c r="F188" s="26"/>
      <x:c r="G188" s="26"/>
      <x:c r="H188" s="26"/>
      <x:c r="I188" s="26"/>
      <x:c r="J188" s="26"/>
    </x:row>
    <x:row r="189">
      <x:c r="A189" s="7"/>
      <x:c r="B189" s="7"/>
      <x:c r="C189" s="26"/>
      <x:c r="D189" s="26"/>
      <x:c r="E189" s="26"/>
      <x:c r="F189" s="26"/>
      <x:c r="G189" s="26"/>
      <x:c r="H189" s="26"/>
      <x:c r="I189" s="26"/>
      <x:c r="J189" s="26"/>
    </x:row>
    <x:row r="190">
      <x:c r="A190" s="7"/>
      <x:c r="B190" s="7"/>
      <x:c r="C190" s="26"/>
      <x:c r="D190" s="26"/>
      <x:c r="E190" s="26"/>
      <x:c r="F190" s="26"/>
      <x:c r="G190" s="26"/>
      <x:c r="H190" s="26"/>
      <x:c r="I190" s="26"/>
      <x:c r="J190" s="26"/>
    </x:row>
    <x:row r="191">
      <x:c r="A191" s="7"/>
      <x:c r="B191" s="7"/>
      <x:c r="C191" s="26"/>
      <x:c r="D191" s="26"/>
      <x:c r="E191" s="26"/>
      <x:c r="F191" s="26"/>
      <x:c r="G191" s="26"/>
      <x:c r="H191" s="26"/>
      <x:c r="I191" s="26"/>
      <x:c r="J191" s="26"/>
    </x:row>
    <x:row r="192">
      <x:c r="A192" s="7"/>
      <x:c r="B192" s="7"/>
      <x:c r="C192" s="26"/>
      <x:c r="D192" s="26"/>
      <x:c r="E192" s="26"/>
      <x:c r="F192" s="26"/>
      <x:c r="G192" s="26"/>
      <x:c r="H192" s="26"/>
      <x:c r="I192" s="26"/>
      <x:c r="J192" s="26"/>
    </x:row>
    <x:row r="193">
      <x:c r="A193" s="7"/>
      <x:c r="B193" s="7"/>
      <x:c r="C193" s="26"/>
      <x:c r="D193" s="26"/>
      <x:c r="E193" s="26"/>
      <x:c r="F193" s="26"/>
      <x:c r="G193" s="26"/>
      <x:c r="H193" s="26"/>
      <x:c r="I193" s="26"/>
      <x:c r="J193" s="26"/>
    </x:row>
    <x:row r="194">
      <x:c r="A194" s="7"/>
      <x:c r="B194" s="7"/>
      <x:c r="C194" s="26"/>
      <x:c r="D194" s="26"/>
      <x:c r="E194" s="26"/>
      <x:c r="F194" s="26"/>
      <x:c r="G194" s="26"/>
      <x:c r="H194" s="26"/>
      <x:c r="I194" s="26"/>
      <x:c r="J194" s="26"/>
    </x:row>
    <x:row r="195">
      <x:c r="A195" s="7"/>
      <x:c r="B195" s="7"/>
      <x:c r="C195" s="26"/>
      <x:c r="D195" s="26"/>
      <x:c r="E195" s="26"/>
      <x:c r="F195" s="26"/>
      <x:c r="G195" s="26"/>
      <x:c r="H195" s="26"/>
      <x:c r="I195" s="26"/>
      <x:c r="J195" s="26"/>
    </x:row>
    <x:row r="196">
      <x:c r="A196" s="7"/>
      <x:c r="B196" s="7"/>
      <x:c r="C196" s="26"/>
      <x:c r="D196" s="26"/>
      <x:c r="E196" s="26"/>
      <x:c r="F196" s="26"/>
      <x:c r="G196" s="26"/>
      <x:c r="H196" s="26"/>
      <x:c r="I196" s="26"/>
      <x:c r="J196" s="26"/>
    </x:row>
    <x:row r="197">
      <x:c r="A197" s="7"/>
      <x:c r="B197" s="7"/>
      <x:c r="C197" s="26"/>
      <x:c r="D197" s="26"/>
      <x:c r="E197" s="26"/>
      <x:c r="F197" s="26"/>
      <x:c r="G197" s="26"/>
      <x:c r="H197" s="26"/>
      <x:c r="I197" s="26"/>
      <x:c r="J197" s="26"/>
    </x:row>
    <x:row r="198">
      <x:c r="A198" s="7"/>
      <x:c r="B198" s="7"/>
      <x:c r="C198" s="26"/>
      <x:c r="D198" s="26"/>
      <x:c r="E198" s="26"/>
      <x:c r="F198" s="26"/>
      <x:c r="G198" s="26"/>
      <x:c r="H198" s="26"/>
      <x:c r="I198" s="26"/>
      <x:c r="J198" s="26"/>
    </x:row>
    <x:row r="199">
      <x:c r="A199" s="7"/>
      <x:c r="B199" s="7"/>
      <x:c r="C199" s="26"/>
      <x:c r="D199" s="26"/>
      <x:c r="E199" s="26"/>
      <x:c r="F199" s="26"/>
      <x:c r="G199" s="26"/>
      <x:c r="H199" s="26"/>
      <x:c r="I199" s="26"/>
      <x:c r="J199" s="26"/>
    </x:row>
    <x:row r="200">
      <x:c r="A200" s="7"/>
      <x:c r="B200" s="7"/>
      <x:c r="C200" s="26"/>
      <x:c r="D200" s="26"/>
      <x:c r="E200" s="26"/>
      <x:c r="F200" s="26"/>
      <x:c r="G200" s="26"/>
      <x:c r="H200" s="26"/>
      <x:c r="I200" s="26"/>
      <x:c r="J200" s="2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7" hidden="0" customWidth="1"/>
    <x:col min="4" max="4" width="37" hidden="0" customWidth="1"/>
    <x:col min="5" max="5" width="39" hidden="0" customWidth="1"/>
    <x:col min="6" max="6" width="19" hidden="0" customWidth="1"/>
    <x:col min="7" max="7" width="17" hidden="0" customWidth="1"/>
    <x:col min="8" max="8" width="28" hidden="0" customWidth="1"/>
    <x:col min="9" max="9" width="25" hidden="0" customWidth="1"/>
    <x:col min="10" max="10" width="24" hidden="0" customWidth="1"/>
    <x:col min="11" max="11" width="27" hidden="0" customWidth="1"/>
    <x:col min="12" max="12" width="23" hidden="0" customWidth="1"/>
    <x:col min="13" max="13" width="22" hidden="0" customWidth="1"/>
    <x:col min="14" max="14" width="56" hidden="0" customWidth="1"/>
    <x:col min="15" max="15" width="28" hidden="0" customWidth="1"/>
    <x:col min="16" max="16" width="78" hidden="0" customWidth="1"/>
  </x:cols>
  <x:sheetData>
    <x:row r="1" ht="25" customHeight="1">
      <x:c r="A1" s="7"/>
      <x:c r="B1" s="7"/>
      <x:c r="C1" s="4" t="str">
        <x:v>Observation-level evidence vectors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7"/>
      <x:c r="B2" s="7"/>
      <x:c r="C2" s="5" t="str">
        <x:v>One row per observation or scenario. A missing coordinate stays explicitly missing; publication date is not substituted for event date or observation period.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30" customHeight="1">
      <x:c r="A5" s="7"/>
      <x:c r="B5" s="7"/>
      <x:c r="C5" s="25" t="str">
        <x:v>Record ID</x:v>
      </x:c>
      <x:c r="D5" s="25" t="str">
        <x:v>Entity / perimeter</x:v>
      </x:c>
      <x:c r="E5" s="25" t="str">
        <x:v>Measure / claim</x:v>
      </x:c>
      <x:c r="F5" s="25" t="str">
        <x:v>Amount / value</x:v>
      </x:c>
      <x:c r="G5" s="25" t="str">
        <x:v>Currency / unit</x:v>
      </x:c>
      <x:c r="H5" s="25" t="str">
        <x:v>Observation period / FY</x:v>
      </x:c>
      <x:c r="I5" s="25" t="str">
        <x:v>Event / measurement date</x:v>
      </x:c>
      <x:c r="J5" s="25" t="str">
        <x:v>Source-record date</x:v>
      </x:c>
      <x:c r="K5" s="25" t="str">
        <x:v>Publication / filing date</x:v>
      </x:c>
      <x:c r="L5" s="25" t="str">
        <x:v>As-of / retrieval date</x:v>
      </x:c>
      <x:c r="M5" s="25" t="str">
        <x:v>Source ID</x:v>
      </x:c>
      <x:c r="N5" s="25" t="str">
        <x:v>Locator (sheet/cell; document section)</x:v>
      </x:c>
      <x:c r="O5" s="25" t="str">
        <x:v>Evidence state</x:v>
      </x:c>
      <x:c r="P5" s="25" t="str">
        <x:v>Basis and limits</x:v>
      </x:c>
    </x:row>
    <x:row r="6">
      <x:c r="A6" s="7"/>
      <x:c r="B6" s="7"/>
      <x:c r="C6" s="27" t="str">
        <x:v>P1-OE-01</x:v>
      </x:c>
      <x:c r="D6" s="30" t="str">
        <x:v>Fictional owner-managed MSME; no real legal entity</x:v>
      </x:c>
      <x:c r="E6" s="30" t="str">
        <x:v>Annual revenue</x:v>
      </x:c>
      <x:c r="F6" s="27" t="n">
        <x:v>48000000</x:v>
      </x:c>
      <x:c r="G6" s="27" t="str">
        <x:v>KES</x:v>
      </x:c>
      <x:c r="H6" s="30" t="str">
        <x:v>Illustrative annual; no FY assigned</x:v>
      </x:c>
      <x:c r="I6" s="30" t="str">
        <x:v>Not applicable: scenario</x:v>
      </x:c>
      <x:c r="J6" s="30" t="str">
        <x:v>Not applicable</x:v>
      </x:c>
      <x:c r="K6" s="30" t="str">
        <x:v>Not applicable</x:v>
      </x:c>
      <x:c r="L6" s="30" t="str">
        <x:v>Not applicable: fictional input</x:v>
      </x:c>
      <x:c r="M6" s="27" t="str">
        <x:v>SCENARIO-P1</x:v>
      </x:c>
      <x:c r="N6" s="30" t="str">
        <x:v>Owner Earnings!D6; general editable bridge scenario</x:v>
      </x:c>
      <x:c r="O6" s="30" t="str">
        <x:v>Scenario input</x:v>
      </x:c>
      <x:c r="P6" s="30" t="str">
        <x:v>Fictional; separate from the matched workshop case in Article Case; replace with entity ledger and matched reporting period before use.</x:v>
      </x:c>
    </x:row>
    <x:row r="7">
      <x:c r="A7" s="7"/>
      <x:c r="B7" s="7"/>
      <x:c r="C7" s="28" t="str">
        <x:v>P1-OE-02</x:v>
      </x:c>
      <x:c r="D7" s="31" t="str">
        <x:v>Fictional owner-managed MSME; no real legal entity</x:v>
      </x:c>
      <x:c r="E7" s="31" t="str">
        <x:v>Reported net income after tax and interest</x:v>
      </x:c>
      <x:c r="F7" s="28" t="n">
        <x:v>3200000</x:v>
      </x:c>
      <x:c r="G7" s="28" t="str">
        <x:v>KES</x:v>
      </x:c>
      <x:c r="H7" s="31" t="str">
        <x:v>Illustrative annual; no FY assigned</x:v>
      </x:c>
      <x:c r="I7" s="31" t="str">
        <x:v>Not applicable: scenario</x:v>
      </x:c>
      <x:c r="J7" s="31" t="str">
        <x:v>Not applicable</x:v>
      </x:c>
      <x:c r="K7" s="31" t="str">
        <x:v>Not applicable</x:v>
      </x:c>
      <x:c r="L7" s="31" t="str">
        <x:v>Not applicable: fictional input</x:v>
      </x:c>
      <x:c r="M7" s="28" t="str">
        <x:v>SCENARIO-P1</x:v>
      </x:c>
      <x:c r="N7" s="31" t="str">
        <x:v>Owner Earnings!D12</x:v>
      </x:c>
      <x:c r="O7" s="31" t="str">
        <x:v>Scenario input</x:v>
      </x:c>
      <x:c r="P7" s="31" t="str">
        <x:v>Illustrative starting point, not reported company history.</x:v>
      </x:c>
    </x:row>
    <x:row r="8">
      <x:c r="A8" s="7"/>
      <x:c r="B8" s="7"/>
      <x:c r="C8" s="28" t="str">
        <x:v>P1-OE-03</x:v>
      </x:c>
      <x:c r="D8" s="31" t="str">
        <x:v>Fictional owner-managed MSME; no real legal entity</x:v>
      </x:c>
      <x:c r="E8" s="31" t="str">
        <x:v>Owner earnings before debt principal</x:v>
      </x:c>
      <x:c r="F8" s="28" t="n">
        <x:v>2200000</x:v>
      </x:c>
      <x:c r="G8" s="28" t="str">
        <x:v>KES</x:v>
      </x:c>
      <x:c r="H8" s="31" t="str">
        <x:v>Illustrative annual; no FY assigned</x:v>
      </x:c>
      <x:c r="I8" s="31" t="str">
        <x:v>Not applicable: scenario</x:v>
      </x:c>
      <x:c r="J8" s="31" t="str">
        <x:v>Not applicable</x:v>
      </x:c>
      <x:c r="K8" s="31" t="str">
        <x:v>Not applicable</x:v>
      </x:c>
      <x:c r="L8" s="31" t="str">
        <x:v>Not applicable: fictional input</x:v>
      </x:c>
      <x:c r="M8" s="28" t="str">
        <x:v>CALC-P1</x:v>
      </x:c>
      <x:c r="N8" s="31" t="str">
        <x:v>Owner Earnings!D20; formula from D19 and D14:D16</x:v>
      </x:c>
      <x:c r="O8" s="31" t="str">
        <x:v>Calculated scenario</x:v>
      </x:c>
      <x:c r="P8" s="31" t="str">
        <x:v>KES 4.0m normalized profit + KES 0.9m D&amp;A − KES 1.2m maintenance − KES 1.5m incremental working capital.</x:v>
      </x:c>
    </x:row>
    <x:row r="9">
      <x:c r="A9" s="7"/>
      <x:c r="B9" s="7"/>
      <x:c r="C9" s="28" t="str">
        <x:v>P1-OE-04</x:v>
      </x:c>
      <x:c r="D9" s="31" t="str">
        <x:v>Fictional owner-managed MSME; no real legal entity</x:v>
      </x:c>
      <x:c r="E9" s="31" t="str">
        <x:v>Residual cash after scheduled principal</x:v>
      </x:c>
      <x:c r="F9" s="28" t="n">
        <x:v>1600000</x:v>
      </x:c>
      <x:c r="G9" s="28" t="str">
        <x:v>KES</x:v>
      </x:c>
      <x:c r="H9" s="31" t="str">
        <x:v>Illustrative annual; no FY assigned</x:v>
      </x:c>
      <x:c r="I9" s="31" t="str">
        <x:v>Not applicable: scenario</x:v>
      </x:c>
      <x:c r="J9" s="31" t="str">
        <x:v>Not applicable</x:v>
      </x:c>
      <x:c r="K9" s="31" t="str">
        <x:v>Not applicable</x:v>
      </x:c>
      <x:c r="L9" s="31" t="str">
        <x:v>Not applicable: fictional input</x:v>
      </x:c>
      <x:c r="M9" s="28" t="str">
        <x:v>CALC-P1</x:v>
      </x:c>
      <x:c r="N9" s="31" t="str">
        <x:v>Owner Earnings!D21</x:v>
      </x:c>
      <x:c r="O9" s="31" t="str">
        <x:v>Calculated scenario</x:v>
      </x:c>
      <x:c r="P9" s="31" t="str">
        <x:v>Owner earnings less illustrative scheduled principal of KES 0.6m.</x:v>
      </x:c>
    </x:row>
    <x:row r="10">
      <x:c r="A10" s="7"/>
      <x:c r="B10" s="7"/>
      <x:c r="C10" s="28" t="str">
        <x:v>P1-OE-05</x:v>
      </x:c>
      <x:c r="D10" s="31" t="str">
        <x:v>Fictional owner-managed MSME; no real legal entity</x:v>
      </x:c>
      <x:c r="E10" s="31" t="str">
        <x:v>Cash after reserve top-up</x:v>
      </x:c>
      <x:c r="F10" s="28" t="n">
        <x:v>1200000</x:v>
      </x:c>
      <x:c r="G10" s="28" t="str">
        <x:v>KES</x:v>
      </x:c>
      <x:c r="H10" s="31" t="str">
        <x:v>Illustrative annual; no FY assigned</x:v>
      </x:c>
      <x:c r="I10" s="31" t="str">
        <x:v>Not applicable: scenario</x:v>
      </x:c>
      <x:c r="J10" s="31" t="str">
        <x:v>Not applicable</x:v>
      </x:c>
      <x:c r="K10" s="31" t="str">
        <x:v>Not applicable</x:v>
      </x:c>
      <x:c r="L10" s="31" t="str">
        <x:v>Not applicable: fictional input</x:v>
      </x:c>
      <x:c r="M10" s="28" t="str">
        <x:v>CALC-P1</x:v>
      </x:c>
      <x:c r="N10" s="31" t="str">
        <x:v>Owner Earnings!D22</x:v>
      </x:c>
      <x:c r="O10" s="31" t="str">
        <x:v>Calculated scenario</x:v>
      </x:c>
      <x:c r="P10" s="31" t="str">
        <x:v>After illustrative KES 0.4m reserve top-up; not a legal dividend test.</x:v>
      </x:c>
    </x:row>
    <x:row r="11">
      <x:c r="A11" s="7"/>
      <x:c r="B11" s="7"/>
      <x:c r="C11" s="28" t="str">
        <x:v>P1-CASH13W</x:v>
      </x:c>
      <x:c r="D11" s="31" t="str">
        <x:v>Fictional operating plan; no legal entity</x:v>
      </x:c>
      <x:c r="E11" s="31" t="str">
        <x:v>Base/downside weekly receipts and supplier outflows</x:v>
      </x:c>
      <x:c r="F11" s="28" t="str">
        <x:v>13 weekly observations; amounts remain in cited cells</x:v>
      </x:c>
      <x:c r="G11" s="28" t="str">
        <x:v>KES per week</x:v>
      </x:c>
      <x:c r="H11" s="31" t="str">
        <x:v>13 weeks beginning 28-Sep-2026 through 21-Dec-2026</x:v>
      </x:c>
      <x:c r="I11" s="31" t="str">
        <x:v>Each week beginning date is in Cash13W!D6:D18</x:v>
      </x:c>
      <x:c r="J11" s="31" t="str">
        <x:v>Not applicable</x:v>
      </x:c>
      <x:c r="K11" s="31" t="str">
        <x:v>Not applicable</x:v>
      </x:c>
      <x:c r="L11" s="31" t="str">
        <x:v>Not applicable: fictional inputs</x:v>
      </x:c>
      <x:c r="M11" s="28" t="str">
        <x:v>SCENARIO-P1</x:v>
      </x:c>
      <x:c r="N11" s="31" t="str">
        <x:v>Cash13W!D6:N18; base and downside cases</x:v>
      </x:c>
      <x:c r="O11" s="31" t="str">
        <x:v>Scenario inputs and formulas</x:v>
      </x:c>
      <x:c r="P11" s="31" t="str">
        <x:v>No bank statements or actual forecast records; do not describe as retrieved business data.</x:v>
      </x:c>
    </x:row>
    <x:row r="12">
      <x:c r="A12" s="7"/>
      <x:c r="B12" s="7"/>
      <x:c r="C12" s="28" t="str">
        <x:v>P1-WC-MONTHLY</x:v>
      </x:c>
      <x:c r="D12" s="31" t="str">
        <x:v>Fictional operating plan; no legal entity</x:v>
      </x:c>
      <x:c r="E12" s="31" t="str">
        <x:v>Credit sales, purchases, receivables, inventory and trade payables</x:v>
      </x:c>
      <x:c r="F12" s="28" t="str">
        <x:v>Three monthly observations; amounts in cited cells</x:v>
      </x:c>
      <x:c r="G12" s="28" t="str">
        <x:v>KES; balances/flows</x:v>
      </x:c>
      <x:c r="H12" s="31" t="str">
        <x:v>Oct-Dec 2026 illustrative months</x:v>
      </x:c>
      <x:c r="I12" s="31" t="str">
        <x:v>Month starts in Working Capital!C6:C8</x:v>
      </x:c>
      <x:c r="J12" s="31" t="str">
        <x:v>Not applicable</x:v>
      </x:c>
      <x:c r="K12" s="31" t="str">
        <x:v>Not applicable</x:v>
      </x:c>
      <x:c r="L12" s="31" t="str">
        <x:v>Not applicable: fictional inputs</x:v>
      </x:c>
      <x:c r="M12" s="28" t="str">
        <x:v>SCENARIO-P1</x:v>
      </x:c>
      <x:c r="N12" s="31" t="str">
        <x:v>Working Capital!C6:I8</x:v>
      </x:c>
      <x:c r="O12" s="31" t="str">
        <x:v>Scenario inputs and formulas</x:v>
      </x:c>
      <x:c r="P12" s="31" t="str">
        <x:v>DSO/DIO/DPO and NWC are calculated from fictional inputs; not actual customer or supplier ledgers.</x:v>
      </x:c>
    </x:row>
    <x:row r="13">
      <x:c r="A13" s="7"/>
      <x:c r="B13" s="7"/>
      <x:c r="C13" s="28" t="str">
        <x:v>P1-AR-AP</x:v>
      </x:c>
      <x:c r="D13" s="31" t="str">
        <x:v>Fictional customer and supplier counterparties</x:v>
      </x:c>
      <x:c r="E13" s="31" t="str">
        <x:v>Invoice dates, contractual due dates, balances and ageing</x:v>
      </x:c>
      <x:c r="F13" s="28" t="str">
        <x:v>See invoice-level values in cited cells</x:v>
      </x:c>
      <x:c r="G13" s="28" t="str">
        <x:v>KES; invoice and due dates</x:v>
      </x:c>
      <x:c r="H13" s="31" t="str">
        <x:v>Invoice dates May-Sep 2026; ageing as of 24-Sep-2026</x:v>
      </x:c>
      <x:c r="I13" s="31" t="str">
        <x:v>Invoice and contractual due dates are row-level in cited cells</x:v>
      </x:c>
      <x:c r="J13" s="31" t="str">
        <x:v>Not applicable</x:v>
      </x:c>
      <x:c r="K13" s="31" t="str">
        <x:v>Not applicable</x:v>
      </x:c>
      <x:c r="L13" s="31" t="str">
        <x:v>24-Sep-2026 scenario as-of date</x:v>
      </x:c>
      <x:c r="M13" s="28" t="str">
        <x:v>SCENARIO-P1</x:v>
      </x:c>
      <x:c r="N13" s="31" t="str">
        <x:v>Receivables!E6:N13; Payables!E6:N13; as-of cells D4</x:v>
      </x:c>
      <x:c r="O13" s="31" t="str">
        <x:v>Scenario ledger</x:v>
      </x:c>
      <x:c r="P13" s="31" t="str">
        <x:v>Names, invoices, dates and amounts are fictional; contractual terms and overdue balances are not evidence of a real counterparty.</x:v>
      </x:c>
    </x:row>
    <x:row r="14">
      <x:c r="A14" s="7"/>
      <x:c r="B14" s="7"/>
      <x:c r="C14" s="28" t="str">
        <x:v>P1-STOCK</x:v>
      </x:c>
      <x:c r="D14" s="31" t="str">
        <x:v>Fictional SKU schedule; no real entity</x:v>
      </x:c>
      <x:c r="E14" s="31" t="str">
        <x:v>Stock units, cost, annual usage, last sale and reorder review</x:v>
      </x:c>
      <x:c r="F14" s="28" t="str">
        <x:v>Eight illustrative SKU observations</x:v>
      </x:c>
      <x:c r="G14" s="28" t="str">
        <x:v>KES, units, weeks, dates</x:v>
      </x:c>
      <x:c r="H14" s="31" t="str">
        <x:v>Last-sale dates Mar-Sep 2026; ageing as of 24-Sep-2026</x:v>
      </x:c>
      <x:c r="I14" s="31" t="str">
        <x:v>Last-sale dates in Inventory!K6:K13</x:v>
      </x:c>
      <x:c r="J14" s="31" t="str">
        <x:v>Not applicable</x:v>
      </x:c>
      <x:c r="K14" s="31" t="str">
        <x:v>Not applicable</x:v>
      </x:c>
      <x:c r="L14" s="31" t="str">
        <x:v>24-Sep-2026 scenario as-of date</x:v>
      </x:c>
      <x:c r="M14" s="28" t="str">
        <x:v>SCENARIO-P1</x:v>
      </x:c>
      <x:c r="N14" s="31" t="str">
        <x:v>Inventory!D6:Q13; ABC and reorder formulas</x:v>
      </x:c>
      <x:c r="O14" s="31" t="str">
        <x:v>Scenario ledger and calculations</x:v>
      </x:c>
      <x:c r="P14" s="31" t="str">
        <x:v>No stock count, invoice, sales history or purchase order was supplied.</x:v>
      </x:c>
    </x:row>
    <x:row r="15">
      <x:c r="A15" s="7"/>
      <x:c r="B15" s="7"/>
      <x:c r="C15" s="28" t="str">
        <x:v>P1-MAINT</x:v>
      </x:c>
      <x:c r="D15" s="31" t="str">
        <x:v>Fictional asset register; no real entity</x:v>
      </x:c>
      <x:c r="E15" s="31" t="str">
        <x:v>Replacement-cost planning for five example assets</x:v>
      </x:c>
      <x:c r="F15" s="28" t="str">
        <x:v>Five asset rows; values in cited cells</x:v>
      </x:c>
      <x:c r="G15" s="28" t="str">
        <x:v>KES; ages in years; planning months</x:v>
      </x:c>
      <x:c r="H15" s="31" t="str">
        <x:v>Illustrative; measurement date not assigned</x:v>
      </x:c>
      <x:c r="I15" s="31" t="str">
        <x:v>Not applicable: scenario</x:v>
      </x:c>
      <x:c r="J15" s="31" t="str">
        <x:v>Not applicable</x:v>
      </x:c>
      <x:c r="K15" s="31" t="str">
        <x:v>Not applicable</x:v>
      </x:c>
      <x:c r="L15" s="31" t="str">
        <x:v>Not applicable: fictional inputs</x:v>
      </x:c>
      <x:c r="M15" s="28" t="str">
        <x:v>SCENARIO-P1</x:v>
      </x:c>
      <x:c r="N15" s="31" t="str">
        <x:v>Maintenance!D6:I10</x:v>
      </x:c>
      <x:c r="O15" s="31" t="str">
        <x:v>Scenario inputs and formulas</x:v>
      </x:c>
      <x:c r="P15" s="31" t="str">
        <x:v>Quotes, inspection reports, service logs and useful-life evidence are explicitly outstanding.</x:v>
      </x:c>
    </x:row>
    <x:row r="16">
      <x:c r="A16" s="7"/>
      <x:c r="B16" s="7"/>
      <x:c r="C16" s="28" t="str">
        <x:v>P1-DEBT</x:v>
      </x:c>
      <x:c r="D16" s="31" t="str">
        <x:v>Fictional borrowing comparison; no real borrower</x:v>
      </x:c>
      <x:c r="E16" s="31" t="str">
        <x:v>Term loan, revolving facility and supplier-credit cost screen</x:v>
      </x:c>
      <x:c r="F16" s="28" t="str">
        <x:v>Three financing cases; amounts/rates in cited cells</x:v>
      </x:c>
      <x:c r="G16" s="28" t="str">
        <x:v>KES; annual rates; years</x:v>
      </x:c>
      <x:c r="H16" s="31" t="str">
        <x:v>Illustrative first-year screen</x:v>
      </x:c>
      <x:c r="I16" s="31" t="str">
        <x:v>Not applicable: scenario</x:v>
      </x:c>
      <x:c r="J16" s="31" t="str">
        <x:v>Not applicable</x:v>
      </x:c>
      <x:c r="K16" s="31" t="str">
        <x:v>Not applicable</x:v>
      </x:c>
      <x:c r="L16" s="31" t="str">
        <x:v>Not applicable: fictional inputs</x:v>
      </x:c>
      <x:c r="M16" s="28" t="str">
        <x:v>SCENARIO-P1</x:v>
      </x:c>
      <x:c r="N16" s="31" t="str">
        <x:v>Debt and Growth!D6:I8</x:v>
      </x:c>
      <x:c r="O16" s="31" t="str">
        <x:v>Scenario inputs and formulas</x:v>
      </x:c>
      <x:c r="P16" s="31" t="str">
        <x:v>Not a lender quote, full amortization, tax treatment or covenant calculation.</x:v>
      </x:c>
    </x:row>
    <x:row r="17">
      <x:c r="A17" s="7"/>
      <x:c r="B17" s="7"/>
      <x:c r="C17" s="28" t="str">
        <x:v>P1-ARTICLE-OE</x:v>
      </x:c>
      <x:c r="D17" s="31" t="str">
        <x:v>Fictional vehicle-repair workshop; no real legal entity</x:v>
      </x:c>
      <x:c r="E17" s="31" t="str">
        <x:v>Normalized owner earnings</x:v>
      </x:c>
      <x:c r="F17" s="28" t="n">
        <x:v>990000</x:v>
      </x:c>
      <x:c r="G17" s="28" t="str">
        <x:v>KES</x:v>
      </x:c>
      <x:c r="H17" s="31" t="str">
        <x:v>Illustrative; no financial year assigned</x:v>
      </x:c>
      <x:c r="I17" s="31" t="str">
        <x:v>Not applicable: scenario</x:v>
      </x:c>
      <x:c r="J17" s="31" t="str">
        <x:v>Not applicable</x:v>
      </x:c>
      <x:c r="K17" s="31" t="str">
        <x:v>Not applicable</x:v>
      </x:c>
      <x:c r="L17" s="31" t="str">
        <x:v>Not applicable: fictional input</x:v>
      </x:c>
      <x:c r="M17" s="28" t="str">
        <x:v>SCENARIO-P1-ARTICLE</x:v>
      </x:c>
      <x:c r="N17" s="31" t="str">
        <x:v>Article Case!D6:D18; Part 1; Appendix 01</x:v>
      </x:c>
      <x:c r="O17" s="31" t="str">
        <x:v>Article-matched calculation</x:v>
      </x:c>
      <x:c r="P17" s="31" t="str">
        <x:v>1.8m net income + 0.24m D&amp;A - 0.38m maintenance - 0.37m incremental working capital - 0.30m replacement-pay shortfall. Separate from the general Owner Earnings sheet scenario.</x:v>
      </x:c>
    </x:row>
    <x:row r="18">
      <x:c r="A18" s="7"/>
      <x:c r="B18" s="7"/>
      <x:c r="C18" s="29" t="str">
        <x:v>P1-ARTICLE-DRAW</x:v>
      </x:c>
      <x:c r="D18" s="32" t="str">
        <x:v>Fictional vehicle-repair workshop; no real legal entity</x:v>
      </x:c>
      <x:c r="E18" s="32" t="str">
        <x:v>Provisional cash headroom</x:v>
      </x:c>
      <x:c r="F18" s="29" t="n">
        <x:v>140000</x:v>
      </x:c>
      <x:c r="G18" s="29" t="str">
        <x:v>KES</x:v>
      </x:c>
      <x:c r="H18" s="32" t="str">
        <x:v>Dated near-term uses; date not assigned in example</x:v>
      </x:c>
      <x:c r="I18" s="32" t="str">
        <x:v>Not applicable: scenario</x:v>
      </x:c>
      <x:c r="J18" s="32" t="str">
        <x:v>Not applicable</x:v>
      </x:c>
      <x:c r="K18" s="32" t="str">
        <x:v>Not applicable</x:v>
      </x:c>
      <x:c r="L18" s="32" t="str">
        <x:v>Not applicable: fictional input</x:v>
      </x:c>
      <x:c r="M18" s="29" t="str">
        <x:v>SCENARIO-P1-ARTICLE</x:v>
      </x:c>
      <x:c r="N18" s="32" t="str">
        <x:v>Article Case!D22:D33; Part 1; Appendix 01</x:v>
      </x:c>
      <x:c r="O18" s="32" t="str">
        <x:v>Article-matched calculation</x:v>
      </x:c>
      <x:c r="P18" s="32" t="str">
        <x:v>Cash 1.2m less 0.91m listed uses and 0.15m reserve. If the disputed 0.2m receipt was counted, adjusted headroom is -0.06m; not a legal distribution test.</x:v>
      </x:c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</x:row>
  </x:sheetData>
  <x:pageMargins left="0.7" right="0.7" top="0.75" bottom="0.75" header="0.3" footer="0.3"/>
</x:worksheet>
</file>