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55ea7e6ed4c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ed16d504d044d68"/>
    <x:sheet xmlns:r="http://schemas.openxmlformats.org/officeDocument/2006/relationships" name="Assumptions" sheetId="2" r:id="R53d8843eeb0d4431"/>
    <x:sheet xmlns:r="http://schemas.openxmlformats.org/officeDocument/2006/relationships" name="Filing Inputs" sheetId="3" r:id="Rf9623d22792b4457"/>
    <x:sheet xmlns:r="http://schemas.openxmlformats.org/officeDocument/2006/relationships" name="NVDA Bridge" sheetId="4" r:id="R1ca1ba01d5034acd"/>
    <x:sheet xmlns:r="http://schemas.openxmlformats.org/officeDocument/2006/relationships" name="Asset Heavy" sheetId="5" r:id="Rabe41a43cb3641f8"/>
    <x:sheet xmlns:r="http://schemas.openxmlformats.org/officeDocument/2006/relationships" name="Bank Insurance" sheetId="6" r:id="R507c0931d53c40ae"/>
    <x:sheet xmlns:r="http://schemas.openxmlformats.org/officeDocument/2006/relationships" name="NSE Casebook" sheetId="7" r:id="Ra03c1ce8ba334bb5"/>
    <x:sheet xmlns:r="http://schemas.openxmlformats.org/officeDocument/2006/relationships" name="Valuation" sheetId="8" r:id="R2c546bfcdef6451e"/>
    <x:sheet xmlns:r="http://schemas.openxmlformats.org/officeDocument/2006/relationships" name="Profile Stress" sheetId="9" r:id="Rfc15ed4bb4b74d27"/>
    <x:sheet xmlns:r="http://schemas.openxmlformats.org/officeDocument/2006/relationships" name="Sources and Checks" sheetId="10" r:id="R039d4c4da9bb45c6"/>
    <x:sheet xmlns:r="http://schemas.openxmlformats.org/officeDocument/2006/relationships" name="Evidence Vectors" sheetId="11" r:id="R2407859aef2740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dd-mmm-yyyy"/>
    <x:numFmt numFmtId="201" formatCode="#,##0.0;(#,##0.0);-"/>
    <x:numFmt numFmtId="202" formatCode="0.000"/>
    <x:numFmt numFmtId="203" formatCode="0.0%;(0.0%);-"/>
    <x:numFmt numFmtId="204" formatCode="0.00"/>
    <x:numFmt numFmtId="205" formatCode="0.0"/>
    <x:numFmt numFmtId="206" formatCode="0.0;(0.0);-"/>
    <x:numFmt numFmtId="207" formatCode="0.00; (0.00); -"/>
  </x:numFmts>
  <x:fonts count="11">
    <x:font>
      <x:sz val="11"/>
      <x:name val="Carlito"/>
    </x:font>
    <x:font>
      <x:b/>
      <x:sz val="15"/>
      <x:color rgb="FF17365D"/>
      <x:name val="Arial"/>
    </x:font>
    <x:font>
      <x:i/>
      <x:sz val="9"/>
      <x:color rgb="FF666666"/>
      <x:name val="Arial"/>
    </x:font>
    <x:font>
      <x:b/>
      <x:sz val="10"/>
      <x:color rgb="FF222222"/>
      <x:name val="Arial"/>
    </x:font>
    <x:font>
      <x:i/>
      <x:sz val="10"/>
      <x:color rgb="FF222222"/>
      <x:name val="Arial"/>
    </x:font>
    <x:font>
      <x:sz val="10"/>
      <x:color rgb="FF222222"/>
      <x:name val="Arial"/>
    </x:font>
    <x:font>
      <x:sz val="10"/>
      <x:color rgb="FF0000FF"/>
      <x:name val="Arial"/>
    </x:font>
    <x:font>
      <x:b/>
      <x:sz val="10"/>
      <x:color rgb="FF17365D"/>
      <x:name val="Arial"/>
    </x:font>
    <x:font>
      <x:sz val="10"/>
      <x:color rgb="FF008000"/>
      <x:name val="Arial"/>
    </x:font>
    <x:font>
      <x:b/>
      <x:sz val="10"/>
      <x:color rgb="FFFFFFFF"/>
      <x:name val="Arial"/>
    </x:font>
    <x:font>
      <x:sz val="10"/>
      <x:color rgb="FFC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</x:fills>
  <x:borders count="4">
    <x:border/>
    <x:border>
      <x:bottom style="thin">
        <x:color rgb="FFE3E8EE"/>
      </x:bottom>
    </x:border>
    <x:border>
      <x:top style="thin">
        <x:color rgb="FFE3E8EE"/>
      </x:top>
      <x:bottom style="thin">
        <x:color rgb="FFE3E8EE"/>
      </x:bottom>
    </x:border>
    <x:border>
      <x:top style="thin">
        <x:color rgb="FFE3E8EE"/>
      </x:top>
      <x:bottom style="thin">
        <x:color rgb="FFB8C4D1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0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200" fontId="5" fillId="0" borderId="0" xfId="0" applyNumberFormat="1" applyFont="1" applyFill="1" applyBorder="1"/>
    <x:xf numFmtId="0" fontId="5" fillId="4" borderId="0" xfId="0" applyNumberFormat="1" applyFont="1" applyFill="1" applyBorder="1"/>
    <x:xf numFmtId="0" fontId="7" fillId="4" borderId="0" xfId="0" applyNumberFormat="1" applyFont="1" applyFill="1" applyBorder="1"/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8" fillId="5" borderId="0" xfId="0" applyNumberFormat="1" applyFont="1" applyFill="1" applyBorder="1"/>
    <x:xf numFmtId="0" fontId="7" fillId="5" borderId="0" xfId="0" applyNumberFormat="1" applyFont="1" applyFill="1" applyBorder="1"/>
    <x:xf numFmtId="0" fontId="5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6" fillId="3" borderId="2" xfId="0" applyNumberFormat="1" applyFont="1" applyFill="1" applyBorder="1" applyAlignment="1">
      <x:alignment vertical="center"/>
    </x:xf>
    <x:xf numFmtId="201" fontId="6" fillId="3" borderId="1" xfId="0" applyNumberFormat="1" applyFont="1" applyFill="1" applyBorder="1" applyAlignment="1">
      <x:alignment vertical="center"/>
    </x:xf>
    <x:xf numFmtId="201" fontId="6" fillId="3" borderId="2" xfId="0" applyNumberFormat="1" applyFont="1" applyFill="1" applyBorder="1" applyAlignment="1">
      <x:alignment vertical="center"/>
    </x:xf>
    <x:xf numFmtId="202" fontId="6" fillId="3" borderId="2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/>
    </x:xf>
    <x:xf numFmtId="203" fontId="6" fillId="3" borderId="2" xfId="0" applyNumberFormat="1" applyFont="1" applyFill="1" applyBorder="1" applyAlignment="1">
      <x:alignment vertical="center"/>
    </x:xf>
    <x:xf numFmtId="203" fontId="6" fillId="3" borderId="3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1" fontId="10" fillId="0" borderId="1" xfId="0" applyNumberFormat="1" applyFont="1" applyFill="1" applyBorder="1" applyAlignment="1">
      <x:alignment vertical="center"/>
    </x:xf>
    <x:xf numFmtId="201" fontId="10" fillId="0" borderId="2" xfId="0" applyNumberFormat="1" applyFont="1" applyFill="1" applyBorder="1" applyAlignment="1">
      <x:alignment vertical="center"/>
    </x:xf>
    <x:xf numFmtId="201" fontId="10" fillId="0" borderId="3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201" fontId="8" fillId="0" borderId="1" xfId="0" applyNumberFormat="1" applyFont="1" applyFill="1" applyBorder="1" applyAlignment="1">
      <x:alignment vertical="center"/>
    </x:xf>
    <x:xf numFmtId="201" fontId="8" fillId="0" borderId="2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vertical="center"/>
    </x:xf>
    <x:xf numFmtId="201" fontId="8" fillId="0" borderId="3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0" fontId="10" fillId="0" borderId="2" xfId="0" applyNumberFormat="1" applyFont="1" applyFill="1" applyBorder="1" applyAlignment="1">
      <x:alignment vertical="center"/>
    </x:xf>
    <x:xf numFmtId="0" fontId="10" fillId="0" borderId="3" xfId="0" applyNumberFormat="1" applyFont="1" applyFill="1" applyBorder="1" applyAlignment="1">
      <x:alignment vertical="center"/>
    </x:xf>
    <x:xf numFmtId="201" fontId="6" fillId="0" borderId="2" xfId="0" applyNumberFormat="1" applyFont="1" applyFill="1" applyBorder="1" applyAlignment="1">
      <x:alignment vertical="center"/>
    </x:xf>
    <x:xf numFmtId="203" fontId="6" fillId="0" borderId="3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 wrapText="1"/>
    </x:xf>
    <x:xf numFmtId="201" fontId="6" fillId="5" borderId="2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 wrapText="1"/>
    </x:xf>
    <x:xf numFmtId="203" fontId="6" fillId="5" borderId="3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 wrapText="1"/>
    </x:xf>
    <x:xf numFmtId="201" fontId="7" fillId="5" borderId="2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 wrapText="1"/>
    </x:xf>
    <x:xf numFmtId="203" fontId="7" fillId="5" borderId="3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203" fontId="5" fillId="0" borderId="1" xfId="0" applyNumberFormat="1" applyFont="1" applyFill="1" applyBorder="1" applyAlignment="1">
      <x:alignment vertical="center"/>
    </x:xf>
    <x:xf numFmtId="203" fontId="5" fillId="0" borderId="2" xfId="0" applyNumberFormat="1" applyFont="1" applyFill="1" applyBorder="1" applyAlignment="1">
      <x:alignment vertical="center"/>
    </x:xf>
    <x:xf numFmtId="203" fontId="10" fillId="0" borderId="1" xfId="0" applyNumberFormat="1" applyFont="1" applyFill="1" applyBorder="1" applyAlignment="1">
      <x:alignment vertical="center"/>
    </x:xf>
    <x:xf numFmtId="203" fontId="10" fillId="0" borderId="2" xfId="0" applyNumberFormat="1" applyFont="1" applyFill="1" applyBorder="1" applyAlignment="1">
      <x:alignment vertical="center"/>
    </x:xf>
    <x:xf numFmtId="203" fontId="6" fillId="0" borderId="2" xfId="0" applyNumberFormat="1" applyFont="1" applyFill="1" applyBorder="1" applyAlignment="1">
      <x:alignment vertical="center"/>
    </x:xf>
    <x:xf numFmtId="201" fontId="6" fillId="0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201" fontId="6" fillId="0" borderId="1" xfId="0" applyNumberFormat="1" applyFont="1" applyFill="1" applyBorder="1" applyAlignment="1">
      <x:alignment vertical="center"/>
    </x:xf>
    <x:xf numFmtId="203" fontId="8" fillId="0" borderId="2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4" fontId="5" fillId="0" borderId="0" xfId="0" applyNumberFormat="1" applyFont="1" applyFill="1" applyBorder="1"/>
    <x:xf numFmtId="203" fontId="5" fillId="0" borderId="0" xfId="0" applyNumberFormat="1" applyFont="1" applyFill="1" applyBorder="1"/>
    <x:xf numFmtId="201" fontId="5" fillId="5" borderId="0" xfId="0" applyNumberFormat="1" applyFont="1" applyFill="1" applyBorder="1"/>
    <x:xf numFmtId="204" fontId="5" fillId="5" borderId="0" xfId="0" applyNumberFormat="1" applyFont="1" applyFill="1" applyBorder="1"/>
    <x:xf numFmtId="203" fontId="5" fillId="5" borderId="0" xfId="0" applyNumberFormat="1" applyFont="1" applyFill="1" applyBorder="1"/>
    <x:xf numFmtId="201" fontId="7" fillId="5" borderId="0" xfId="0" applyNumberFormat="1" applyFont="1" applyFill="1" applyBorder="1"/>
    <x:xf numFmtId="204" fontId="7" fillId="5" borderId="0" xfId="0" applyNumberFormat="1" applyFont="1" applyFill="1" applyBorder="1"/>
    <x:xf numFmtId="203" fontId="7" fillId="5" borderId="0" xfId="0" applyNumberFormat="1" applyFont="1" applyFill="1" applyBorder="1"/>
    <x:xf numFmtId="203" fontId="6" fillId="0" borderId="1" xfId="0" applyNumberFormat="1" applyFont="1" applyFill="1" applyBorder="1" applyAlignment="1">
      <x:alignment vertical="center"/>
    </x:xf>
    <x:xf numFmtId="205" fontId="6" fillId="0" borderId="1" xfId="0" applyNumberFormat="1" applyFont="1" applyFill="1" applyBorder="1" applyAlignment="1">
      <x:alignment vertical="center"/>
    </x:xf>
    <x:xf numFmtId="205" fontId="6" fillId="0" borderId="2" xfId="0" applyNumberFormat="1" applyFont="1" applyFill="1" applyBorder="1" applyAlignment="1">
      <x:alignment vertical="center"/>
    </x:xf>
    <x:xf numFmtId="205" fontId="6" fillId="0" borderId="3" xfId="0" applyNumberFormat="1" applyFont="1" applyFill="1" applyBorder="1" applyAlignment="1">
      <x:alignment vertical="center"/>
    </x:xf>
    <x:xf numFmtId="206" fontId="6" fillId="0" borderId="1" xfId="0" applyNumberFormat="1" applyFont="1" applyFill="1" applyBorder="1" applyAlignment="1">
      <x:alignment vertical="center"/>
    </x:xf>
    <x:xf numFmtId="206" fontId="5" fillId="0" borderId="1" xfId="0" applyNumberFormat="1" applyFont="1" applyFill="1" applyBorder="1" applyAlignment="1">
      <x:alignment vertical="center"/>
    </x:xf>
    <x:xf numFmtId="206" fontId="6" fillId="0" borderId="2" xfId="0" applyNumberFormat="1" applyFont="1" applyFill="1" applyBorder="1" applyAlignment="1">
      <x:alignment vertical="center"/>
    </x:xf>
    <x:xf numFmtId="206" fontId="5" fillId="0" borderId="2" xfId="0" applyNumberFormat="1" applyFont="1" applyFill="1" applyBorder="1" applyAlignment="1">
      <x:alignment vertical="center"/>
    </x:xf>
    <x:xf numFmtId="206" fontId="6" fillId="0" borderId="3" xfId="0" applyNumberFormat="1" applyFont="1" applyFill="1" applyBorder="1" applyAlignment="1">
      <x:alignment vertical="center"/>
    </x:xf>
    <x:xf numFmtId="206" fontId="5" fillId="0" borderId="3" xfId="0" applyNumberFormat="1" applyFont="1" applyFill="1" applyBorder="1" applyAlignment="1">
      <x:alignment vertical="center"/>
    </x:xf>
    <x:xf numFmtId="206" fontId="8" fillId="0" borderId="1" xfId="0" applyNumberFormat="1" applyFont="1" applyFill="1" applyBorder="1" applyAlignment="1">
      <x:alignment vertical="center"/>
    </x:xf>
    <x:xf numFmtId="206" fontId="8" fillId="0" borderId="2" xfId="0" applyNumberFormat="1" applyFont="1" applyFill="1" applyBorder="1" applyAlignment="1">
      <x:alignment vertical="center"/>
    </x:xf>
    <x:xf numFmtId="206" fontId="8" fillId="0" borderId="3" xfId="0" applyNumberFormat="1" applyFont="1" applyFill="1" applyBorder="1" applyAlignment="1">
      <x:alignment vertical="center"/>
    </x:xf>
    <x:xf numFmtId="207" fontId="5" fillId="0" borderId="1" xfId="0" applyNumberFormat="1" applyFont="1" applyFill="1" applyBorder="1" applyAlignment="1">
      <x:alignment vertical="center"/>
    </x:xf>
    <x:xf numFmtId="207" fontId="5" fillId="0" borderId="2" xfId="0" applyNumberFormat="1" applyFont="1" applyFill="1" applyBorder="1" applyAlignment="1">
      <x:alignment vertical="center"/>
    </x:xf>
    <x:xf numFmtId="207" fontId="5" fillId="0" borderId="3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0"/>
    </x:xf>
    <x:xf numFmtId="0" fontId="7" fillId="4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d27c89aab4569" /><Relationship Type="http://schemas.openxmlformats.org/officeDocument/2006/relationships/theme" Target="/xl/theme/theme1.xml" Id="Rc2b0a7263592470d" /><Relationship Type="http://schemas.openxmlformats.org/officeDocument/2006/relationships/sharedStrings" Target="/xl/sharedStrings.xml" Id="R299f2ed0a5bc4f12" /><Relationship Type="http://schemas.openxmlformats.org/officeDocument/2006/relationships/worksheet" Target="/xl/worksheets/sheet1.xml" Id="R8ed16d504d044d68" /><Relationship Type="http://schemas.openxmlformats.org/officeDocument/2006/relationships/worksheet" Target="/xl/worksheets/sheet2.xml" Id="R53d8843eeb0d4431" /><Relationship Type="http://schemas.openxmlformats.org/officeDocument/2006/relationships/worksheet" Target="/xl/worksheets/sheet3.xml" Id="Rf9623d22792b4457" /><Relationship Type="http://schemas.openxmlformats.org/officeDocument/2006/relationships/worksheet" Target="/xl/worksheets/sheet4.xml" Id="R1ca1ba01d5034acd" /><Relationship Type="http://schemas.openxmlformats.org/officeDocument/2006/relationships/worksheet" Target="/xl/worksheets/sheet5.xml" Id="Rabe41a43cb3641f8" /><Relationship Type="http://schemas.openxmlformats.org/officeDocument/2006/relationships/worksheet" Target="/xl/worksheets/sheet6.xml" Id="R507c0931d53c40ae" /><Relationship Type="http://schemas.openxmlformats.org/officeDocument/2006/relationships/worksheet" Target="/xl/worksheets/sheet7.xml" Id="Ra03c1ce8ba334bb5" /><Relationship Type="http://schemas.openxmlformats.org/officeDocument/2006/relationships/worksheet" Target="/xl/worksheets/sheet8.xml" Id="R2c546bfcdef6451e" /><Relationship Type="http://schemas.openxmlformats.org/officeDocument/2006/relationships/worksheet" Target="/xl/worksheets/sheet9.xml" Id="Rfc15ed4bb4b74d27" /><Relationship Type="http://schemas.openxmlformats.org/officeDocument/2006/relationships/worksheet" Target="/xl/worksheets/sheet10.xml" Id="R039d4c4da9bb45c6" /><Relationship Type="http://schemas.openxmlformats.org/officeDocument/2006/relationships/worksheet" Target="/xl/worksheets/sheet11.xml" Id="R2407859aef2740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4" max="4" width="76" hidden="0" customWidth="1"/>
  </x:cols>
  <x:sheetData>
    <x:row r="1" ht="25" customHeight="1">
      <x:c r="A1" s="7"/>
      <x:c r="B1" s="7"/>
      <x:c r="C1" s="4" t="str">
        <x:v>Listed-company owner earnings and valuation</x:v>
      </x:c>
      <x:c r="D1" s="4"/>
      <x:c r="E1" s="4"/>
      <x:c r="F1" s="4"/>
      <x:c r="G1" s="4"/>
      <x:c r="H1" s="4"/>
      <x:c r="I1" s="4"/>
    </x:row>
    <x:row r="2">
      <x:c r="A2" s="7"/>
      <x:c r="B2" s="7"/>
      <x:c r="C2" s="5" t="str">
        <x:v>Project 2 | Reported facts are dated; estimated maintenance, working capital and future per-share cash remain separate analyst inputs.</x:v>
      </x:c>
      <x:c r="D2" s="5"/>
      <x:c r="E2" s="5"/>
      <x:c r="F2" s="5"/>
      <x:c r="G2" s="5"/>
      <x:c r="H2" s="5"/>
      <x:c r="I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</x:row>
    <x:row r="4">
      <x:c r="A4" s="7"/>
      <x:c r="B4" s="7"/>
      <x:c r="C4" s="6" t="str">
        <x:v>Case selected</x:v>
      </x:c>
      <x:c r="D4" s="9" t="str">
        <x:v>Base</x:v>
      </x:c>
      <x:c r="E4" s="6"/>
      <x:c r="F4" s="6"/>
      <x:c r="G4" s="6"/>
      <x:c r="H4" s="6"/>
      <x:c r="I4" s="6"/>
    </x:row>
    <x:row r="5">
      <x:c r="A5" s="7"/>
      <x:c r="B5" s="7"/>
      <x:c r="C5" s="6"/>
      <x:c r="D5" s="6"/>
      <x:c r="E5" s="6"/>
      <x:c r="F5" s="6"/>
      <x:c r="G5" s="6"/>
      <x:c r="H5" s="6"/>
      <x:c r="I5" s="6"/>
    </x:row>
    <x:row r="6">
      <x:c r="A6" s="7"/>
      <x:c r="B6" s="7"/>
      <x:c r="C6" s="6" t="str">
        <x:v>Evidence cutoff</x:v>
      </x:c>
      <x:c r="D6" s="10" t="n">
        <x:v>46289</x:v>
      </x:c>
      <x:c r="E6" s="6"/>
      <x:c r="F6" s="6"/>
      <x:c r="G6" s="6"/>
      <x:c r="H6" s="6"/>
      <x:c r="I6" s="6"/>
    </x:row>
    <x:row r="7">
      <x:c r="A7" s="7"/>
      <x:c r="B7" s="7"/>
      <x:c r="C7" s="6" t="str">
        <x:v>Critical estimates needed</x:v>
      </x:c>
      <x:c r="D7" s="6" t="str">
        <x:f>'NVDA Bridge'!D13</x:f>
        <x:v>Needs maintenance and NWC evidence</x:v>
      </x:c>
      <x:c r="E7" s="6"/>
      <x:c r="F7" s="6"/>
      <x:c r="G7" s="6"/>
      <x:c r="H7" s="6"/>
      <x:c r="I7" s="6"/>
    </x:row>
    <x:row r="8">
      <x:c r="A8" s="7"/>
      <x:c r="B8" s="7"/>
      <x:c r="C8" s="6"/>
      <x:c r="D8" s="6"/>
      <x:c r="E8" s="6"/>
      <x:c r="F8" s="6"/>
      <x:c r="G8" s="6"/>
      <x:c r="H8" s="6"/>
      <x:c r="I8" s="6"/>
    </x:row>
    <x:row r="9">
      <x:c r="A9" s="7"/>
      <x:c r="B9" s="7"/>
      <x:c r="C9" s="12" t="str">
        <x:v>Main outputs</x:v>
      </x:c>
      <x:c r="D9" s="12" t="str">
        <x:v>Selected case</x:v>
      </x:c>
      <x:c r="E9" s="6"/>
      <x:c r="F9" s="6"/>
      <x:c r="G9" s="6"/>
      <x:c r="H9" s="6"/>
      <x:c r="I9" s="6"/>
    </x:row>
    <x:row r="10">
      <x:c r="A10" s="7"/>
      <x:c r="B10" s="7"/>
      <x:c r="C10" s="6" t="str">
        <x:v>NVIDIA estimated equity owner earnings (USD bn)</x:v>
      </x:c>
      <x:c r="D10" s="14" t="n">
        <x:f>'NVDA Bridge'!D12</x:f>
        <x:v>0</x:v>
      </x:c>
      <x:c r="E10" s="6"/>
      <x:c r="F10" s="6"/>
      <x:c r="G10" s="6"/>
      <x:c r="H10" s="6"/>
      <x:c r="I10" s="6"/>
    </x:row>
    <x:row r="11">
      <x:c r="A11" s="7"/>
      <x:c r="B11" s="7"/>
      <x:c r="C11" s="6" t="str">
        <x:v>NVIDIA known gross AR and inventory cash uses (USD bn)</x:v>
      </x:c>
      <x:c r="D11" s="14" t="n">
        <x:f>'Filing Inputs'!D12</x:f>
        <x:v>26.723</x:v>
      </x:c>
      <x:c r="E11" s="6"/>
      <x:c r="F11" s="6"/>
      <x:c r="G11" s="6"/>
      <x:c r="H11" s="6"/>
      <x:c r="I11" s="6"/>
    </x:row>
    <x:row r="12">
      <x:c r="A12" s="7"/>
      <x:c r="B12" s="7"/>
      <x:c r="C12" s="6" t="str">
        <x:v>Equinix issuer-defined recurring capex (USD bn)</x:v>
      </x:c>
      <x:c r="D12" s="14" t="n">
        <x:f>'Asset Heavy'!D8</x:f>
        <x:v>0.284</x:v>
      </x:c>
      <x:c r="E12" s="6"/>
      <x:c r="F12" s="6"/>
      <x:c r="G12" s="6"/>
      <x:c r="H12" s="6"/>
      <x:c r="I12" s="6"/>
    </x:row>
    <x:row r="13">
      <x:c r="A13" s="7"/>
      <x:c r="B13" s="7"/>
      <x:c r="C13" s="6" t="str">
        <x:v>KenGen capital investment / PAT</x:v>
      </x:c>
      <x:c r="D13" s="14" t="n">
        <x:f>'NSE Casebook'!H8/'NSE Casebook'!F8</x:f>
        <x:v>1.6919187100467514</x:v>
      </x:c>
      <x:c r="E13" s="6"/>
      <x:c r="F13" s="6"/>
      <x:c r="G13" s="6"/>
      <x:c r="H13" s="6"/>
      <x:c r="I13" s="6"/>
    </x:row>
    <x:row r="14">
      <x:c r="A14" s="7"/>
      <x:c r="B14" s="7"/>
      <x:c r="C14" s="6" t="str">
        <x:v>Valuation readiness</x:v>
      </x:c>
      <x:c r="D14" s="13" t="str">
        <x:f>'Valuation'!D12</x:f>
        <x:v>Enter supported earnings, shares, price and valid rates</x:v>
      </x:c>
      <x:c r="E14" s="6"/>
      <x:c r="F14" s="6"/>
      <x:c r="G14" s="6"/>
      <x:c r="H14" s="6"/>
      <x:c r="I14" s="6"/>
    </x:row>
    <x:row r="15">
      <x:c r="A15" s="7"/>
      <x:c r="B15" s="7"/>
      <x:c r="C15" s="6"/>
      <x:c r="D15" s="6"/>
      <x:c r="E15" s="6"/>
      <x:c r="F15" s="6"/>
      <x:c r="G15" s="6"/>
      <x:c r="H15" s="6"/>
      <x:c r="I15" s="6"/>
    </x:row>
    <x:row r="16">
      <x:c r="A16" s="7"/>
      <x:c r="B16" s="7"/>
      <x:c r="C16" s="4" t="str">
        <x:v>Use</x:v>
      </x:c>
      <x:c r="D16" s="15" t="str">
        <x:v>Start with the dated issuer values, then enter a supported maintenance and net-working-capital estimate.</x:v>
      </x:c>
      <x:c r="E16" s="6"/>
      <x:c r="F16" s="6"/>
      <x:c r="G16" s="6"/>
      <x:c r="H16" s="6"/>
      <x:c r="I16" s="6"/>
    </x:row>
    <x:row r="17">
      <x:c r="A17" s="7"/>
      <x:c r="B17" s="7"/>
      <x:c r="C17" s="4" t="str">
        <x:v>Treatment</x:v>
      </x:c>
      <x:c r="D17" s="15" t="str">
        <x:v>Known gross cash uses are diagnostic. They are not the full net working-capital change.</x:v>
      </x:c>
      <x:c r="E17" s="6"/>
      <x:c r="F17" s="6"/>
      <x:c r="G17" s="6"/>
      <x:c r="H17" s="6"/>
      <x:c r="I17" s="6"/>
    </x:row>
    <x:row r="18">
      <x:c r="A18" s="7"/>
      <x:c r="B18" s="7"/>
      <x:c r="C18" s="4" t="str">
        <x:v>Decision</x:v>
      </x:c>
      <x:c r="D18" s="15" t="str">
        <x:v>A blank estimate means the owner-earnings value is incomplete; it is not zero.</x:v>
      </x:c>
      <x:c r="E18" s="6"/>
      <x:c r="F18" s="6"/>
      <x:c r="G18" s="6"/>
      <x:c r="H18" s="6"/>
      <x:c r="I18" s="6"/>
    </x:row>
    <x:row r="19">
      <x:c r="A19" s="7"/>
      <x:c r="B19" s="7"/>
      <x:c r="C19" s="4" t="str">
        <x:v>Valuation</x:v>
      </x:c>
      <x:c r="D19" s="15" t="str">
        <x:v>The DCF remains unavailable until owner earnings and diluted shares are supported.</x:v>
      </x:c>
      <x:c r="E19" s="6"/>
      <x:c r="F19" s="6"/>
      <x:c r="G19" s="6"/>
      <x:c r="H19" s="6"/>
      <x:c r="I19" s="6"/>
    </x:row>
    <x:row r="20">
      <x:c r="A20" s="7"/>
      <x:c r="B20" s="7"/>
      <x:c r="C20" s="6"/>
      <x:c r="D20" s="6"/>
      <x:c r="E20" s="6"/>
      <x:c r="F20" s="6"/>
      <x:c r="G20" s="6"/>
      <x:c r="H20" s="6"/>
      <x:c r="I20" s="6"/>
    </x:row>
    <x:row r="21">
      <x:c r="A21" s="7"/>
      <x:c r="B21" s="7"/>
      <x:c r="C21" s="6"/>
      <x:c r="D21" s="6"/>
      <x:c r="E21" s="6"/>
      <x:c r="F21" s="6"/>
      <x:c r="G21" s="6"/>
      <x:c r="H21" s="6"/>
      <x:c r="I21" s="6"/>
    </x:row>
    <x:row r="22">
      <x:c r="A22" s="7"/>
      <x:c r="B22" s="7"/>
      <x:c r="C22" s="6"/>
      <x:c r="D22" s="6"/>
      <x:c r="E22" s="6"/>
      <x:c r="F22" s="6"/>
      <x:c r="G22" s="6"/>
      <x:c r="H22" s="6"/>
      <x:c r="I22" s="6"/>
    </x:row>
    <x:row r="23">
      <x:c r="A23" s="7"/>
      <x:c r="B23" s="7"/>
      <x:c r="C23" s="6"/>
      <x:c r="D23" s="6"/>
      <x:c r="E23" s="6"/>
      <x:c r="F23" s="6"/>
      <x:c r="G23" s="6"/>
      <x:c r="H23" s="6"/>
      <x:c r="I23" s="6"/>
    </x:row>
    <x:row r="24">
      <x:c r="A24" s="7"/>
      <x:c r="B24" s="7"/>
      <x:c r="C24" s="6"/>
      <x:c r="D24" s="6"/>
      <x:c r="E24" s="6"/>
      <x:c r="F24" s="6"/>
      <x:c r="G24" s="6"/>
      <x:c r="H24" s="6"/>
      <x:c r="I24" s="6"/>
    </x:row>
    <x:row r="25">
      <x:c r="A25" s="7"/>
      <x:c r="B25" s="7"/>
      <x:c r="C25" s="6"/>
      <x:c r="D25" s="6"/>
      <x:c r="E25" s="6"/>
      <x:c r="F25" s="6"/>
      <x:c r="G25" s="6"/>
      <x:c r="H25" s="6"/>
      <x:c r="I25" s="6"/>
    </x:row>
    <x:row r="26">
      <x:c r="A26" s="7"/>
      <x:c r="B26" s="7"/>
      <x:c r="C26" s="6"/>
      <x:c r="D26" s="6"/>
      <x:c r="E26" s="6"/>
      <x:c r="F26" s="6"/>
      <x:c r="G26" s="6"/>
      <x:c r="H26" s="6"/>
      <x:c r="I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</x:row>
  </x:sheetData>
  <x:dataValidations count="1">
    <x:dataValidation type="list" sqref="D4">
      <x:formula1>"Base,Downside"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8" hidden="0" customWidth="1"/>
    <x:col min="4" max="4" width="17" hidden="0" customWidth="1"/>
    <x:col min="5" max="5" width="17" hidden="0" customWidth="1"/>
    <x:col min="6" max="6" width="22" hidden="0" customWidth="1"/>
    <x:col min="7" max="7" width="18" hidden="0" customWidth="1"/>
    <x:col min="8" max="8" width="42" hidden="0" customWidth="1"/>
  </x:cols>
  <x:sheetData>
    <x:row r="1" ht="25" customHeight="1">
      <x:c r="A1" s="7"/>
      <x:c r="B1" s="7"/>
      <x:c r="C1" s="4" t="str">
        <x:v>Analyst assumptions and active case</x:v>
      </x:c>
      <x:c r="D1" s="4"/>
      <x:c r="E1" s="4"/>
      <x:c r="F1" s="4"/>
      <x:c r="G1" s="4"/>
      <x:c r="H1" s="4"/>
    </x:row>
    <x:row r="2">
      <x:c r="A2" s="7"/>
      <x:c r="B2" s="7"/>
      <x:c r="C2" s="5" t="str">
        <x:v>Blue cells are editable. No unsupported maintenance or working-capital number is prefilled for NVIDIA.</x:v>
      </x:c>
      <x:c r="D2" s="5"/>
      <x:c r="E2" s="5"/>
      <x:c r="F2" s="5"/>
      <x:c r="G2" s="5"/>
      <x:c r="H2" s="5"/>
    </x:row>
    <x:row r="3">
      <x:c r="A3" s="7"/>
      <x:c r="B3" s="7"/>
      <x:c r="C3" s="6"/>
      <x:c r="D3" s="6"/>
      <x:c r="E3" s="6"/>
      <x:c r="F3" s="6"/>
      <x:c r="G3" s="6"/>
      <x:c r="H3" s="6"/>
    </x:row>
    <x:row r="4">
      <x:c r="A4" s="7"/>
      <x:c r="B4" s="7"/>
      <x:c r="C4" s="18" t="str">
        <x:v>Case selected</x:v>
      </x:c>
      <x:c r="D4" s="18" t="str">
        <x:f>Overview!D4</x:f>
        <x:v>Base</x:v>
      </x:c>
      <x:c r="E4" s="6"/>
      <x:c r="F4" s="6"/>
      <x:c r="G4" s="6"/>
      <x:c r="H4" s="6"/>
    </x:row>
    <x:row r="5">
      <x:c r="A5" s="7"/>
      <x:c r="B5" s="7"/>
      <x:c r="C5" s="6"/>
      <x:c r="D5" s="6"/>
      <x:c r="E5" s="6"/>
      <x:c r="F5" s="6"/>
      <x:c r="G5" s="6"/>
      <x:c r="H5" s="6"/>
    </x:row>
    <x:row r="6" ht="30" customHeight="1">
      <x:c r="A6" s="7"/>
      <x:c r="B6" s="7"/>
      <x:c r="C6" s="22" t="str">
        <x:v>Driver</x:v>
      </x:c>
      <x:c r="D6" s="22" t="str">
        <x:v>Base</x:v>
      </x:c>
      <x:c r="E6" s="22" t="str">
        <x:v>Downside</x:v>
      </x:c>
      <x:c r="F6" s="22" t="str">
        <x:v>Active selection</x:v>
      </x:c>
      <x:c r="G6" s="22" t="str">
        <x:v>Unit</x:v>
      </x:c>
      <x:c r="H6" s="22" t="str">
        <x:v>Evidence state</x:v>
      </x:c>
    </x:row>
    <x:row r="7">
      <x:c r="A7" s="7"/>
      <x:c r="B7" s="7"/>
      <x:c r="C7" s="24" t="str">
        <x:v>NVIDIA maintenance capex</x:v>
      </x:c>
      <x:c r="D7" s="32"/>
      <x:c r="E7" s="32"/>
      <x:c r="F7" s="24" t="str">
        <x:f>IF(Overview!$D$4="Downside",IF(E7="","",E7),IF(D7="","",D7))</x:f>
      </x:c>
      <x:c r="G7" s="24" t="str">
        <x:v>USD bn</x:v>
      </x:c>
      <x:c r="H7" s="24" t="str">
        <x:v>Needs asset/project evidence</x:v>
      </x:c>
    </x:row>
    <x:row r="8">
      <x:c r="A8" s="7"/>
      <x:c r="B8" s="7"/>
      <x:c r="C8" s="25" t="str">
        <x:v>NVIDIA normalized net working-capital reinvestment</x:v>
      </x:c>
      <x:c r="D8" s="33"/>
      <x:c r="E8" s="33"/>
      <x:c r="F8" s="25" t="str">
        <x:f>IF(Overview!$D$4="Downside",IF(E8="","",E8),IF(D8="","",D8))</x:f>
      </x:c>
      <x:c r="G8" s="25" t="str">
        <x:v>USD bn</x:v>
      </x:c>
      <x:c r="H8" s="25" t="str">
        <x:v>Needs full balance movement bridge</x:v>
      </x:c>
    </x:row>
    <x:row r="9">
      <x:c r="A9" s="7"/>
      <x:c r="B9" s="7"/>
      <x:c r="C9" s="25" t="str">
        <x:v>Share compensation treatment</x:v>
      </x:c>
      <x:c r="D9" s="31" t="str">
        <x:v>Keep expensed</x:v>
      </x:c>
      <x:c r="E9" s="31" t="str">
        <x:v>Add back + dilution</x:v>
      </x:c>
      <x:c r="F9" s="25" t="str">
        <x:f>IF(Overview!$D$4="Downside",E9,D9)</x:f>
        <x:v>Keep expensed</x:v>
      </x:c>
      <x:c r="G9" s="25" t="str">
        <x:v>Choice</x:v>
      </x:c>
      <x:c r="H9" s="25" t="str">
        <x:v>Select one coherent method</x:v>
      </x:c>
    </x:row>
    <x:row r="10">
      <x:c r="A10" s="7"/>
      <x:c r="B10" s="7"/>
      <x:c r="C10" s="25" t="str">
        <x:v>Diluted shares</x:v>
      </x:c>
      <x:c r="D10" s="34"/>
      <x:c r="E10" s="34"/>
      <x:c r="F10" s="25" t="str">
        <x:f>IF(Overview!$D$4="Downside",IF(E10="","",E10),IF(D10="","",D10))</x:f>
      </x:c>
      <x:c r="G10" s="25" t="str">
        <x:v>bn shares</x:v>
      </x:c>
      <x:c r="H10" s="25" t="str">
        <x:v>Update from filing and awards</x:v>
      </x:c>
    </x:row>
    <x:row r="11">
      <x:c r="A11" s="7"/>
      <x:c r="B11" s="7"/>
      <x:c r="C11" s="25" t="str">
        <x:v>Terminal growth</x:v>
      </x:c>
      <x:c r="D11" s="36" t="n">
        <x:v>0.04</x:v>
      </x:c>
      <x:c r="E11" s="36" t="n">
        <x:v>0.02</x:v>
      </x:c>
      <x:c r="F11" s="25" t="n">
        <x:f>IF(Overview!$D$4="Downside",E11,D11)</x:f>
        <x:v>0.04</x:v>
      </x:c>
      <x:c r="G11" s="25" t="str">
        <x:v>%</x:v>
      </x:c>
      <x:c r="H11" s="25" t="str">
        <x:v>Illustrative valuation input</x:v>
      </x:c>
    </x:row>
    <x:row r="12">
      <x:c r="A12" s="7"/>
      <x:c r="B12" s="7"/>
      <x:c r="C12" s="25" t="str">
        <x:v>Discount rate</x:v>
      </x:c>
      <x:c r="D12" s="36" t="n">
        <x:v>0.1</x:v>
      </x:c>
      <x:c r="E12" s="36" t="n">
        <x:v>0.13</x:v>
      </x:c>
      <x:c r="F12" s="25" t="n">
        <x:f>IF(Overview!$D$4="Downside",E12,D12)</x:f>
        <x:v>0.1</x:v>
      </x:c>
      <x:c r="G12" s="25" t="str">
        <x:v>%</x:v>
      </x:c>
      <x:c r="H12" s="25" t="str">
        <x:v>Illustrative valuation input</x:v>
      </x:c>
    </x:row>
    <x:row r="13">
      <x:c r="A13" s="7"/>
      <x:c r="B13" s="7"/>
      <x:c r="C13" s="26" t="str">
        <x:v>Five-year owner-earnings growth</x:v>
      </x:c>
      <x:c r="D13" s="37" t="n">
        <x:v>0.12</x:v>
      </x:c>
      <x:c r="E13" s="37" t="n">
        <x:v>-0.1</x:v>
      </x:c>
      <x:c r="F13" s="26" t="n">
        <x:f>IF(Overview!$D$4="Downside",E13,D13)</x:f>
        <x:v>0.12</x:v>
      </x:c>
      <x:c r="G13" s="26" t="str">
        <x:v>%</x:v>
      </x:c>
      <x:c r="H13" s="26" t="str">
        <x:v>Illustrative forecast; replace with supported cases</x:v>
      </x:c>
    </x:row>
    <x:row r="14">
      <x:c r="A14" s="7"/>
      <x:c r="B14" s="7"/>
      <x:c r="C14" s="6"/>
      <x:c r="D14" s="6"/>
      <x:c r="E14" s="6"/>
      <x:c r="F14" s="6"/>
      <x:c r="G14" s="6"/>
      <x:c r="H14" s="6"/>
    </x:row>
    <x:row r="15">
      <x:c r="A15" s="7"/>
      <x:c r="B15" s="7"/>
      <x:c r="C15" s="39" t="str">
        <x:v>SBC method</x:v>
      </x:c>
      <x:c r="D15" s="39" t="str">
        <x:v>If compensation remains expensed in net income, do not add it back. If added back, model dilution or the cash cost of offsetting it.</x:v>
      </x:c>
      <x:c r="E15" s="39"/>
      <x:c r="F15" s="39"/>
      <x:c r="G15" s="39"/>
      <x:c r="H15" s="39"/>
    </x:row>
    <x:row r="16">
      <x:c r="A16" s="7"/>
      <x:c r="B16" s="7"/>
      <x:c r="C16" s="39" t="str">
        <x:v>Scenario</x:v>
      </x:c>
      <x:c r="D16" s="39" t="str">
        <x:v>One selector controls forecast assumptions. Historical filed inputs remain unchanged.</x:v>
      </x:c>
      <x:c r="E16" s="39"/>
      <x:c r="F16" s="39"/>
      <x:c r="G16" s="39"/>
      <x:c r="H16" s="39"/>
    </x:row>
    <x:row r="17">
      <x:c r="A17" s="7"/>
      <x:c r="B17" s="7"/>
      <x:c r="C17" s="6"/>
      <x:c r="D17" s="6"/>
      <x:c r="E17" s="6"/>
      <x:c r="F17" s="6"/>
      <x:c r="G17" s="6"/>
      <x:c r="H17" s="6"/>
    </x:row>
    <x:row r="18">
      <x:c r="A18" s="7"/>
      <x:c r="B18" s="7"/>
      <x:c r="C18" s="6"/>
      <x:c r="D18" s="6"/>
      <x:c r="E18" s="6"/>
      <x:c r="F18" s="6"/>
      <x:c r="G18" s="6"/>
      <x:c r="H18" s="6"/>
    </x:row>
    <x:row r="19">
      <x:c r="A19" s="7"/>
      <x:c r="B19" s="7"/>
      <x:c r="C19" s="6"/>
      <x:c r="D19" s="6"/>
      <x:c r="E19" s="6"/>
      <x:c r="F19" s="6"/>
      <x:c r="G19" s="6"/>
      <x:c r="H19" s="6"/>
    </x:row>
    <x:row r="20">
      <x:c r="A20" s="7"/>
      <x:c r="B20" s="7"/>
      <x:c r="C20" s="6"/>
      <x:c r="D20" s="6"/>
      <x:c r="E20" s="6"/>
      <x:c r="F20" s="6"/>
      <x:c r="G20" s="6"/>
      <x:c r="H20" s="6"/>
    </x:row>
    <x:row r="21">
      <x:c r="A21" s="7"/>
      <x:c r="B21" s="7"/>
      <x:c r="C21" s="6"/>
      <x:c r="D21" s="6"/>
      <x:c r="E21" s="6"/>
      <x:c r="F21" s="6"/>
      <x:c r="G21" s="6"/>
      <x:c r="H21" s="6"/>
    </x:row>
    <x:row r="22">
      <x:c r="A22" s="7"/>
      <x:c r="B22" s="7"/>
      <x:c r="C22" s="6"/>
      <x:c r="D22" s="6"/>
      <x:c r="E22" s="6"/>
      <x:c r="F22" s="6"/>
      <x:c r="G22" s="6"/>
      <x:c r="H22" s="6"/>
    </x:row>
    <x:row r="23">
      <x:c r="A23" s="7"/>
      <x:c r="B23" s="7"/>
      <x:c r="C23" s="6"/>
      <x:c r="D23" s="6"/>
      <x:c r="E23" s="6"/>
      <x:c r="F23" s="6"/>
      <x:c r="G23" s="6"/>
      <x:c r="H23" s="6"/>
    </x:row>
    <x:row r="24">
      <x:c r="A24" s="7"/>
      <x:c r="B24" s="7"/>
      <x:c r="C24" s="6"/>
      <x:c r="D24" s="6"/>
      <x:c r="E24" s="6"/>
      <x:c r="F24" s="6"/>
      <x:c r="G24" s="6"/>
      <x:c r="H24" s="6"/>
    </x:row>
    <x:row r="25">
      <x:c r="A25" s="7"/>
      <x:c r="B25" s="7"/>
      <x:c r="C25" s="6"/>
      <x:c r="D25" s="6"/>
      <x:c r="E25" s="6"/>
      <x:c r="F25" s="6"/>
      <x:c r="G25" s="6"/>
      <x:c r="H25" s="6"/>
    </x:row>
    <x:row r="26">
      <x:c r="A26" s="7"/>
      <x:c r="B26" s="7"/>
      <x:c r="C26" s="6"/>
      <x:c r="D26" s="6"/>
      <x:c r="E26" s="6"/>
      <x:c r="F26" s="6"/>
      <x:c r="G26" s="6"/>
      <x:c r="H26" s="6"/>
    </x:row>
    <x:row r="27">
      <x:c r="A27" s="7"/>
      <x:c r="B27" s="7"/>
      <x:c r="C27" s="6"/>
      <x:c r="D27" s="6"/>
      <x:c r="E27" s="6"/>
      <x:c r="F27" s="6"/>
      <x:c r="G27" s="6"/>
      <x:c r="H27" s="6"/>
    </x:row>
    <x:row r="28">
      <x:c r="A28" s="7"/>
      <x:c r="B28" s="7"/>
      <x:c r="C28" s="6"/>
      <x:c r="D28" s="6"/>
      <x:c r="E28" s="6"/>
      <x:c r="F28" s="6"/>
      <x:c r="G28" s="6"/>
      <x:c r="H28" s="6"/>
    </x:row>
    <x:row r="29">
      <x:c r="A29" s="7"/>
      <x:c r="B29" s="7"/>
      <x:c r="C29" s="6"/>
      <x:c r="D29" s="6"/>
      <x:c r="E29" s="6"/>
      <x:c r="F29" s="6"/>
      <x:c r="G29" s="6"/>
      <x:c r="H29" s="6"/>
    </x:row>
    <x:row r="30">
      <x:c r="A30" s="7"/>
      <x:c r="B30" s="7"/>
      <x:c r="C30" s="6"/>
      <x:c r="D30" s="6"/>
      <x:c r="E30" s="6"/>
      <x:c r="F30" s="6"/>
      <x:c r="G30" s="6"/>
      <x:c r="H30" s="6"/>
    </x:row>
    <x:row r="31">
      <x:c r="A31" s="7"/>
      <x:c r="B31" s="7"/>
      <x:c r="C31" s="6"/>
      <x:c r="D31" s="6"/>
      <x:c r="E31" s="6"/>
      <x:c r="F31" s="6"/>
      <x:c r="G31" s="6"/>
      <x:c r="H31" s="6"/>
    </x:row>
    <x:row r="32">
      <x:c r="A32" s="7"/>
      <x:c r="B32" s="7"/>
      <x:c r="C32" s="6"/>
      <x:c r="D32" s="6"/>
      <x:c r="E32" s="6"/>
      <x:c r="F32" s="6"/>
      <x:c r="G32" s="6"/>
      <x:c r="H32" s="6"/>
    </x:row>
    <x:row r="33">
      <x:c r="A33" s="7"/>
      <x:c r="B33" s="7"/>
      <x:c r="C33" s="6"/>
      <x:c r="D33" s="6"/>
      <x:c r="E33" s="6"/>
      <x:c r="F33" s="6"/>
      <x:c r="G33" s="6"/>
      <x:c r="H33" s="6"/>
    </x:row>
    <x:row r="34">
      <x:c r="A34" s="7"/>
      <x:c r="B34" s="7"/>
      <x:c r="C34" s="6"/>
      <x:c r="D34" s="6"/>
      <x:c r="E34" s="6"/>
      <x:c r="F34" s="6"/>
      <x:c r="G34" s="6"/>
      <x:c r="H34" s="6"/>
    </x:row>
    <x:row r="35">
      <x:c r="A35" s="7"/>
      <x:c r="B35" s="7"/>
      <x:c r="C35" s="6"/>
      <x:c r="D35" s="6"/>
      <x:c r="E35" s="6"/>
      <x:c r="F35" s="6"/>
      <x:c r="G35" s="6"/>
      <x:c r="H35" s="6"/>
    </x:row>
    <x:row r="36">
      <x:c r="A36" s="7"/>
      <x:c r="B36" s="7"/>
      <x:c r="C36" s="6"/>
      <x:c r="D36" s="6"/>
      <x:c r="E36" s="6"/>
      <x:c r="F36" s="6"/>
      <x:c r="G36" s="6"/>
      <x:c r="H36" s="6"/>
    </x:row>
    <x:row r="37">
      <x:c r="A37" s="7"/>
      <x:c r="B37" s="7"/>
      <x:c r="C37" s="6"/>
      <x:c r="D37" s="6"/>
      <x:c r="E37" s="6"/>
      <x:c r="F37" s="6"/>
      <x:c r="G37" s="6"/>
      <x:c r="H37" s="6"/>
    </x:row>
    <x:row r="38">
      <x:c r="A38" s="7"/>
      <x:c r="B38" s="7"/>
      <x:c r="C38" s="6"/>
      <x:c r="D38" s="6"/>
      <x:c r="E38" s="6"/>
      <x:c r="F38" s="6"/>
      <x:c r="G38" s="6"/>
      <x:c r="H38" s="6"/>
    </x:row>
    <x:row r="39">
      <x:c r="A39" s="7"/>
      <x:c r="B39" s="7"/>
      <x:c r="C39" s="6"/>
      <x:c r="D39" s="6"/>
      <x:c r="E39" s="6"/>
      <x:c r="F39" s="6"/>
      <x:c r="G39" s="6"/>
      <x:c r="H39" s="6"/>
    </x:row>
    <x:row r="40">
      <x:c r="A40" s="7"/>
      <x:c r="B40" s="7"/>
      <x:c r="C40" s="6"/>
      <x:c r="D40" s="6"/>
      <x:c r="E40" s="6"/>
      <x:c r="F40" s="6"/>
      <x:c r="G40" s="6"/>
      <x:c r="H40" s="6"/>
    </x:row>
    <x:row r="41">
      <x:c r="A41" s="7"/>
      <x:c r="B41" s="7"/>
      <x:c r="C41" s="6"/>
      <x:c r="D41" s="6"/>
      <x:c r="E41" s="6"/>
      <x:c r="F41" s="6"/>
      <x:c r="G41" s="6"/>
      <x:c r="H41" s="6"/>
    </x:row>
    <x:row r="42">
      <x:c r="A42" s="7"/>
      <x:c r="B42" s="7"/>
      <x:c r="C42" s="6"/>
      <x:c r="D42" s="6"/>
      <x:c r="E42" s="6"/>
      <x:c r="F42" s="6"/>
      <x:c r="G42" s="6"/>
      <x:c r="H42" s="6"/>
    </x:row>
    <x:row r="43">
      <x:c r="A43" s="7"/>
      <x:c r="B43" s="7"/>
      <x:c r="C43" s="6"/>
      <x:c r="D43" s="6"/>
      <x:c r="E43" s="6"/>
      <x:c r="F43" s="6"/>
      <x:c r="G43" s="6"/>
      <x:c r="H43" s="6"/>
    </x:row>
    <x:row r="44">
      <x:c r="A44" s="7"/>
      <x:c r="B44" s="7"/>
      <x:c r="C44" s="6"/>
      <x:c r="D44" s="6"/>
      <x:c r="E44" s="6"/>
      <x:c r="F44" s="6"/>
      <x:c r="G44" s="6"/>
      <x:c r="H44" s="6"/>
    </x:row>
    <x:row r="45">
      <x:c r="A45" s="7"/>
      <x:c r="B45" s="7"/>
      <x:c r="C45" s="6"/>
      <x:c r="D45" s="6"/>
      <x:c r="E45" s="6"/>
      <x:c r="F45" s="6"/>
      <x:c r="G45" s="6"/>
      <x:c r="H45" s="6"/>
    </x:row>
    <x:row r="46">
      <x:c r="A46" s="7"/>
      <x:c r="B46" s="7"/>
      <x:c r="C46" s="6"/>
      <x:c r="D46" s="6"/>
      <x:c r="E46" s="6"/>
      <x:c r="F46" s="6"/>
      <x:c r="G46" s="6"/>
      <x:c r="H46" s="6"/>
    </x:row>
    <x:row r="47">
      <x:c r="A47" s="7"/>
      <x:c r="B47" s="7"/>
      <x:c r="C47" s="6"/>
      <x:c r="D47" s="6"/>
      <x:c r="E47" s="6"/>
      <x:c r="F47" s="6"/>
      <x:c r="G47" s="6"/>
      <x:c r="H47" s="6"/>
    </x:row>
    <x:row r="48">
      <x:c r="A48" s="7"/>
      <x:c r="B48" s="7"/>
      <x:c r="C48" s="6"/>
      <x:c r="D48" s="6"/>
      <x:c r="E48" s="6"/>
      <x:c r="F48" s="6"/>
      <x:c r="G48" s="6"/>
      <x:c r="H48" s="6"/>
    </x:row>
    <x:row r="49">
      <x:c r="A49" s="7"/>
      <x:c r="B49" s="7"/>
      <x:c r="C49" s="6"/>
      <x:c r="D49" s="6"/>
      <x:c r="E49" s="6"/>
      <x:c r="F49" s="6"/>
      <x:c r="G49" s="6"/>
      <x:c r="H49" s="6"/>
    </x:row>
    <x:row r="50">
      <x:c r="A50" s="7"/>
      <x:c r="B50" s="7"/>
      <x:c r="C50" s="6"/>
      <x:c r="D50" s="6"/>
      <x:c r="E50" s="6"/>
      <x:c r="F50" s="6"/>
      <x:c r="G50" s="6"/>
      <x:c r="H50" s="6"/>
    </x:row>
    <x:row r="51">
      <x:c r="A51" s="7"/>
      <x:c r="B51" s="7"/>
      <x:c r="C51" s="6"/>
      <x:c r="D51" s="6"/>
      <x:c r="E51" s="6"/>
      <x:c r="F51" s="6"/>
      <x:c r="G51" s="6"/>
      <x:c r="H51" s="6"/>
    </x:row>
    <x:row r="52">
      <x:c r="A52" s="7"/>
      <x:c r="B52" s="7"/>
      <x:c r="C52" s="6"/>
      <x:c r="D52" s="6"/>
      <x:c r="E52" s="6"/>
      <x:c r="F52" s="6"/>
      <x:c r="G52" s="6"/>
      <x:c r="H52" s="6"/>
    </x:row>
    <x:row r="53">
      <x:c r="A53" s="7"/>
      <x:c r="B53" s="7"/>
      <x:c r="C53" s="6"/>
      <x:c r="D53" s="6"/>
      <x:c r="E53" s="6"/>
      <x:c r="F53" s="6"/>
      <x:c r="G53" s="6"/>
      <x:c r="H53" s="6"/>
    </x:row>
    <x:row r="54">
      <x:c r="A54" s="7"/>
      <x:c r="B54" s="7"/>
      <x:c r="C54" s="6"/>
      <x:c r="D54" s="6"/>
      <x:c r="E54" s="6"/>
      <x:c r="F54" s="6"/>
      <x:c r="G54" s="6"/>
      <x:c r="H54" s="6"/>
    </x:row>
    <x:row r="55">
      <x:c r="A55" s="7"/>
      <x:c r="B55" s="7"/>
      <x:c r="C55" s="6"/>
      <x:c r="D55" s="6"/>
      <x:c r="E55" s="6"/>
      <x:c r="F55" s="6"/>
      <x:c r="G55" s="6"/>
      <x:c r="H55" s="6"/>
    </x:row>
    <x:row r="56">
      <x:c r="A56" s="7"/>
      <x:c r="B56" s="7"/>
      <x:c r="C56" s="6"/>
      <x:c r="D56" s="6"/>
      <x:c r="E56" s="6"/>
      <x:c r="F56" s="6"/>
      <x:c r="G56" s="6"/>
      <x:c r="H56" s="6"/>
    </x:row>
    <x:row r="57">
      <x:c r="A57" s="7"/>
      <x:c r="B57" s="7"/>
      <x:c r="C57" s="6"/>
      <x:c r="D57" s="6"/>
      <x:c r="E57" s="6"/>
      <x:c r="F57" s="6"/>
      <x:c r="G57" s="6"/>
      <x:c r="H57" s="6"/>
    </x:row>
    <x:row r="58">
      <x:c r="A58" s="7"/>
      <x:c r="B58" s="7"/>
      <x:c r="C58" s="6"/>
      <x:c r="D58" s="6"/>
      <x:c r="E58" s="6"/>
      <x:c r="F58" s="6"/>
      <x:c r="G58" s="6"/>
      <x:c r="H58" s="6"/>
    </x:row>
    <x:row r="59">
      <x:c r="A59" s="7"/>
      <x:c r="B59" s="7"/>
      <x:c r="C59" s="6"/>
      <x:c r="D59" s="6"/>
      <x:c r="E59" s="6"/>
      <x:c r="F59" s="6"/>
      <x:c r="G59" s="6"/>
      <x:c r="H59" s="6"/>
    </x:row>
    <x:row r="60">
      <x:c r="A60" s="7"/>
      <x:c r="B60" s="7"/>
      <x:c r="C60" s="6"/>
      <x:c r="D60" s="6"/>
      <x:c r="E60" s="6"/>
      <x:c r="F60" s="6"/>
      <x:c r="G60" s="6"/>
      <x:c r="H60" s="6"/>
    </x:row>
    <x:row r="61">
      <x:c r="A61" s="7"/>
      <x:c r="B61" s="7"/>
      <x:c r="C61" s="6"/>
      <x:c r="D61" s="6"/>
      <x:c r="E61" s="6"/>
      <x:c r="F61" s="6"/>
      <x:c r="G61" s="6"/>
      <x:c r="H61" s="6"/>
    </x:row>
    <x:row r="62">
      <x:c r="A62" s="7"/>
      <x:c r="B62" s="7"/>
      <x:c r="C62" s="6"/>
      <x:c r="D62" s="6"/>
      <x:c r="E62" s="6"/>
      <x:c r="F62" s="6"/>
      <x:c r="G62" s="6"/>
      <x:c r="H62" s="6"/>
    </x:row>
    <x:row r="63">
      <x:c r="A63" s="7"/>
      <x:c r="B63" s="7"/>
      <x:c r="C63" s="6"/>
      <x:c r="D63" s="6"/>
      <x:c r="E63" s="6"/>
      <x:c r="F63" s="6"/>
      <x:c r="G63" s="6"/>
      <x:c r="H63" s="6"/>
    </x:row>
    <x:row r="64">
      <x:c r="A64" s="7"/>
      <x:c r="B64" s="7"/>
      <x:c r="C64" s="6"/>
      <x:c r="D64" s="6"/>
      <x:c r="E64" s="6"/>
      <x:c r="F64" s="6"/>
      <x:c r="G64" s="6"/>
      <x:c r="H64" s="6"/>
    </x:row>
    <x:row r="65">
      <x:c r="A65" s="7"/>
      <x:c r="B65" s="7"/>
      <x:c r="C65" s="6"/>
      <x:c r="D65" s="6"/>
      <x:c r="E65" s="6"/>
      <x:c r="F65" s="6"/>
      <x:c r="G65" s="6"/>
      <x:c r="H65" s="6"/>
    </x:row>
    <x:row r="66">
      <x:c r="A66" s="7"/>
      <x:c r="B66" s="7"/>
      <x:c r="C66" s="6"/>
      <x:c r="D66" s="6"/>
      <x:c r="E66" s="6"/>
      <x:c r="F66" s="6"/>
      <x:c r="G66" s="6"/>
      <x:c r="H66" s="6"/>
    </x:row>
    <x:row r="67">
      <x:c r="A67" s="7"/>
      <x:c r="B67" s="7"/>
      <x:c r="C67" s="6"/>
      <x:c r="D67" s="6"/>
      <x:c r="E67" s="6"/>
      <x:c r="F67" s="6"/>
      <x:c r="G67" s="6"/>
      <x:c r="H67" s="6"/>
    </x:row>
    <x:row r="68">
      <x:c r="A68" s="7"/>
      <x:c r="B68" s="7"/>
      <x:c r="C68" s="6"/>
      <x:c r="D68" s="6"/>
      <x:c r="E68" s="6"/>
      <x:c r="F68" s="6"/>
      <x:c r="G68" s="6"/>
      <x:c r="H68" s="6"/>
    </x:row>
    <x:row r="69">
      <x:c r="A69" s="7"/>
      <x:c r="B69" s="7"/>
      <x:c r="C69" s="6"/>
      <x:c r="D69" s="6"/>
      <x:c r="E69" s="6"/>
      <x:c r="F69" s="6"/>
      <x:c r="G69" s="6"/>
      <x:c r="H69" s="6"/>
    </x:row>
    <x:row r="70">
      <x:c r="A70" s="7"/>
      <x:c r="B70" s="7"/>
      <x:c r="C70" s="6"/>
      <x:c r="D70" s="6"/>
      <x:c r="E70" s="6"/>
      <x:c r="F70" s="6"/>
      <x:c r="G70" s="6"/>
      <x:c r="H70" s="6"/>
    </x:row>
    <x:row r="71">
      <x:c r="A71" s="7"/>
      <x:c r="B71" s="7"/>
      <x:c r="C71" s="6"/>
      <x:c r="D71" s="6"/>
      <x:c r="E71" s="6"/>
      <x:c r="F71" s="6"/>
      <x:c r="G71" s="6"/>
      <x:c r="H71" s="6"/>
    </x:row>
    <x:row r="72">
      <x:c r="A72" s="7"/>
      <x:c r="B72" s="7"/>
      <x:c r="C72" s="6"/>
      <x:c r="D72" s="6"/>
      <x:c r="E72" s="6"/>
      <x:c r="F72" s="6"/>
      <x:c r="G72" s="6"/>
      <x:c r="H72" s="6"/>
    </x:row>
    <x:row r="73">
      <x:c r="A73" s="7"/>
      <x:c r="B73" s="7"/>
      <x:c r="C73" s="6"/>
      <x:c r="D73" s="6"/>
      <x:c r="E73" s="6"/>
      <x:c r="F73" s="6"/>
      <x:c r="G73" s="6"/>
      <x:c r="H73" s="6"/>
    </x:row>
    <x:row r="74">
      <x:c r="A74" s="7"/>
      <x:c r="B74" s="7"/>
      <x:c r="C74" s="6"/>
      <x:c r="D74" s="6"/>
      <x:c r="E74" s="6"/>
      <x:c r="F74" s="6"/>
      <x:c r="G74" s="6"/>
      <x:c r="H74" s="6"/>
    </x:row>
    <x:row r="75">
      <x:c r="A75" s="7"/>
      <x:c r="B75" s="7"/>
      <x:c r="C75" s="6"/>
      <x:c r="D75" s="6"/>
      <x:c r="E75" s="6"/>
      <x:c r="F75" s="6"/>
      <x:c r="G75" s="6"/>
      <x:c r="H75" s="6"/>
    </x:row>
    <x:row r="76">
      <x:c r="A76" s="7"/>
      <x:c r="B76" s="7"/>
      <x:c r="C76" s="6"/>
      <x:c r="D76" s="6"/>
      <x:c r="E76" s="6"/>
      <x:c r="F76" s="6"/>
      <x:c r="G76" s="6"/>
      <x:c r="H76" s="6"/>
    </x:row>
    <x:row r="77">
      <x:c r="A77" s="7"/>
      <x:c r="B77" s="7"/>
      <x:c r="C77" s="6"/>
      <x:c r="D77" s="6"/>
      <x:c r="E77" s="6"/>
      <x:c r="F77" s="6"/>
      <x:c r="G77" s="6"/>
      <x:c r="H77" s="6"/>
    </x:row>
    <x:row r="78">
      <x:c r="A78" s="7"/>
      <x:c r="B78" s="7"/>
      <x:c r="C78" s="6"/>
      <x:c r="D78" s="6"/>
      <x:c r="E78" s="6"/>
      <x:c r="F78" s="6"/>
      <x:c r="G78" s="6"/>
      <x:c r="H78" s="6"/>
    </x:row>
    <x:row r="79">
      <x:c r="A79" s="7"/>
      <x:c r="B79" s="7"/>
      <x:c r="C79" s="6"/>
      <x:c r="D79" s="6"/>
      <x:c r="E79" s="6"/>
      <x:c r="F79" s="6"/>
      <x:c r="G79" s="6"/>
      <x:c r="H79" s="6"/>
    </x:row>
    <x:row r="80">
      <x:c r="A80" s="7"/>
      <x:c r="B80" s="7"/>
      <x:c r="C80" s="6"/>
      <x:c r="D80" s="6"/>
      <x:c r="E80" s="6"/>
      <x:c r="F80" s="6"/>
      <x:c r="G80" s="6"/>
      <x:c r="H80" s="6"/>
    </x:row>
    <x:row r="81">
      <x:c r="A81" s="7"/>
      <x:c r="B81" s="7"/>
      <x:c r="C81" s="6"/>
      <x:c r="D81" s="6"/>
      <x:c r="E81" s="6"/>
      <x:c r="F81" s="6"/>
      <x:c r="G81" s="6"/>
      <x:c r="H81" s="6"/>
    </x:row>
    <x:row r="82">
      <x:c r="A82" s="7"/>
      <x:c r="B82" s="7"/>
      <x:c r="C82" s="6"/>
      <x:c r="D82" s="6"/>
      <x:c r="E82" s="6"/>
      <x:c r="F82" s="6"/>
      <x:c r="G82" s="6"/>
      <x:c r="H82" s="6"/>
    </x:row>
    <x:row r="83">
      <x:c r="A83" s="7"/>
      <x:c r="B83" s="7"/>
      <x:c r="C83" s="6"/>
      <x:c r="D83" s="6"/>
      <x:c r="E83" s="6"/>
      <x:c r="F83" s="6"/>
      <x:c r="G83" s="6"/>
      <x:c r="H83" s="6"/>
    </x:row>
    <x:row r="84">
      <x:c r="A84" s="7"/>
      <x:c r="B84" s="7"/>
      <x:c r="C84" s="6"/>
      <x:c r="D84" s="6"/>
      <x:c r="E84" s="6"/>
      <x:c r="F84" s="6"/>
      <x:c r="G84" s="6"/>
      <x:c r="H84" s="6"/>
    </x:row>
    <x:row r="85">
      <x:c r="A85" s="7"/>
      <x:c r="B85" s="7"/>
      <x:c r="C85" s="6"/>
      <x:c r="D85" s="6"/>
      <x:c r="E85" s="6"/>
      <x:c r="F85" s="6"/>
      <x:c r="G85" s="6"/>
      <x:c r="H85" s="6"/>
    </x:row>
    <x:row r="86">
      <x:c r="A86" s="7"/>
      <x:c r="B86" s="7"/>
      <x:c r="C86" s="6"/>
      <x:c r="D86" s="6"/>
      <x:c r="E86" s="6"/>
      <x:c r="F86" s="6"/>
      <x:c r="G86" s="6"/>
      <x:c r="H86" s="6"/>
    </x:row>
    <x:row r="87">
      <x:c r="A87" s="7"/>
      <x:c r="B87" s="7"/>
      <x:c r="C87" s="6"/>
      <x:c r="D87" s="6"/>
      <x:c r="E87" s="6"/>
      <x:c r="F87" s="6"/>
      <x:c r="G87" s="6"/>
      <x:c r="H87" s="6"/>
    </x:row>
    <x:row r="88">
      <x:c r="A88" s="7"/>
      <x:c r="B88" s="7"/>
      <x:c r="C88" s="6"/>
      <x:c r="D88" s="6"/>
      <x:c r="E88" s="6"/>
      <x:c r="F88" s="6"/>
      <x:c r="G88" s="6"/>
      <x:c r="H88" s="6"/>
    </x:row>
    <x:row r="89">
      <x:c r="A89" s="7"/>
      <x:c r="B89" s="7"/>
      <x:c r="C89" s="6"/>
      <x:c r="D89" s="6"/>
      <x:c r="E89" s="6"/>
      <x:c r="F89" s="6"/>
      <x:c r="G89" s="6"/>
      <x:c r="H89" s="6"/>
    </x:row>
    <x:row r="90">
      <x:c r="A90" s="7"/>
      <x:c r="B90" s="7"/>
      <x:c r="C90" s="6"/>
      <x:c r="D90" s="6"/>
      <x:c r="E90" s="6"/>
      <x:c r="F90" s="6"/>
      <x:c r="G90" s="6"/>
      <x:c r="H90" s="6"/>
    </x:row>
    <x:row r="91">
      <x:c r="A91" s="7"/>
      <x:c r="B91" s="7"/>
      <x:c r="C91" s="6"/>
      <x:c r="D91" s="6"/>
      <x:c r="E91" s="6"/>
      <x:c r="F91" s="6"/>
      <x:c r="G91" s="6"/>
      <x:c r="H91" s="6"/>
    </x:row>
    <x:row r="92">
      <x:c r="A92" s="7"/>
      <x:c r="B92" s="7"/>
      <x:c r="C92" s="6"/>
      <x:c r="D92" s="6"/>
      <x:c r="E92" s="6"/>
      <x:c r="F92" s="6"/>
      <x:c r="G92" s="6"/>
      <x:c r="H92" s="6"/>
    </x:row>
    <x:row r="93">
      <x:c r="A93" s="7"/>
      <x:c r="B93" s="7"/>
      <x:c r="C93" s="6"/>
      <x:c r="D93" s="6"/>
      <x:c r="E93" s="6"/>
      <x:c r="F93" s="6"/>
      <x:c r="G93" s="6"/>
      <x:c r="H93" s="6"/>
    </x:row>
    <x:row r="94">
      <x:c r="A94" s="7"/>
      <x:c r="B94" s="7"/>
      <x:c r="C94" s="6"/>
      <x:c r="D94" s="6"/>
      <x:c r="E94" s="6"/>
      <x:c r="F94" s="6"/>
      <x:c r="G94" s="6"/>
      <x:c r="H94" s="6"/>
    </x:row>
    <x:row r="95">
      <x:c r="A95" s="7"/>
      <x:c r="B95" s="7"/>
      <x:c r="C95" s="6"/>
      <x:c r="D95" s="6"/>
      <x:c r="E95" s="6"/>
      <x:c r="F95" s="6"/>
      <x:c r="G95" s="6"/>
      <x:c r="H95" s="6"/>
    </x:row>
    <x:row r="96">
      <x:c r="A96" s="7"/>
      <x:c r="B96" s="7"/>
      <x:c r="C96" s="6"/>
      <x:c r="D96" s="6"/>
      <x:c r="E96" s="6"/>
      <x:c r="F96" s="6"/>
      <x:c r="G96" s="6"/>
      <x:c r="H96" s="6"/>
    </x:row>
    <x:row r="97">
      <x:c r="A97" s="7"/>
      <x:c r="B97" s="7"/>
      <x:c r="C97" s="6"/>
      <x:c r="D97" s="6"/>
      <x:c r="E97" s="6"/>
      <x:c r="F97" s="6"/>
      <x:c r="G97" s="6"/>
      <x:c r="H97" s="6"/>
    </x:row>
    <x:row r="98">
      <x:c r="A98" s="7"/>
      <x:c r="B98" s="7"/>
      <x:c r="C98" s="6"/>
      <x:c r="D98" s="6"/>
      <x:c r="E98" s="6"/>
      <x:c r="F98" s="6"/>
      <x:c r="G98" s="6"/>
      <x:c r="H98" s="6"/>
    </x:row>
    <x:row r="99">
      <x:c r="A99" s="7"/>
      <x:c r="B99" s="7"/>
      <x:c r="C99" s="6"/>
      <x:c r="D99" s="6"/>
      <x:c r="E99" s="6"/>
      <x:c r="F99" s="6"/>
      <x:c r="G99" s="6"/>
      <x:c r="H99" s="6"/>
    </x:row>
    <x:row r="100">
      <x:c r="A100" s="7"/>
      <x:c r="B100" s="7"/>
      <x:c r="C100" s="6"/>
      <x:c r="D100" s="6"/>
      <x:c r="E100" s="6"/>
      <x:c r="F100" s="6"/>
      <x:c r="G100" s="6"/>
      <x:c r="H100" s="6"/>
    </x:row>
    <x:row r="101">
      <x:c r="A101" s="7"/>
      <x:c r="B101" s="7"/>
      <x:c r="C101" s="6"/>
      <x:c r="D101" s="6"/>
      <x:c r="E101" s="6"/>
      <x:c r="F101" s="6"/>
      <x:c r="G101" s="6"/>
      <x:c r="H101" s="6"/>
    </x:row>
    <x:row r="102">
      <x:c r="A102" s="7"/>
      <x:c r="B102" s="7"/>
      <x:c r="C102" s="6"/>
      <x:c r="D102" s="6"/>
      <x:c r="E102" s="6"/>
      <x:c r="F102" s="6"/>
      <x:c r="G102" s="6"/>
      <x:c r="H102" s="6"/>
    </x:row>
    <x:row r="103">
      <x:c r="A103" s="7"/>
      <x:c r="B103" s="7"/>
      <x:c r="C103" s="6"/>
      <x:c r="D103" s="6"/>
      <x:c r="E103" s="6"/>
      <x:c r="F103" s="6"/>
      <x:c r="G103" s="6"/>
      <x:c r="H103" s="6"/>
    </x:row>
    <x:row r="104">
      <x:c r="A104" s="7"/>
      <x:c r="B104" s="7"/>
      <x:c r="C104" s="6"/>
      <x:c r="D104" s="6"/>
      <x:c r="E104" s="6"/>
      <x:c r="F104" s="6"/>
      <x:c r="G104" s="6"/>
      <x:c r="H104" s="6"/>
    </x:row>
    <x:row r="105">
      <x:c r="A105" s="7"/>
      <x:c r="B105" s="7"/>
      <x:c r="C105" s="6"/>
      <x:c r="D105" s="6"/>
      <x:c r="E105" s="6"/>
      <x:c r="F105" s="6"/>
      <x:c r="G105" s="6"/>
      <x:c r="H105" s="6"/>
    </x:row>
    <x:row r="106">
      <x:c r="A106" s="7"/>
      <x:c r="B106" s="7"/>
      <x:c r="C106" s="6"/>
      <x:c r="D106" s="6"/>
      <x:c r="E106" s="6"/>
      <x:c r="F106" s="6"/>
      <x:c r="G106" s="6"/>
      <x:c r="H106" s="6"/>
    </x:row>
    <x:row r="107">
      <x:c r="A107" s="7"/>
      <x:c r="B107" s="7"/>
      <x:c r="C107" s="6"/>
      <x:c r="D107" s="6"/>
      <x:c r="E107" s="6"/>
      <x:c r="F107" s="6"/>
      <x:c r="G107" s="6"/>
      <x:c r="H107" s="6"/>
    </x:row>
    <x:row r="108">
      <x:c r="A108" s="7"/>
      <x:c r="B108" s="7"/>
      <x:c r="C108" s="6"/>
      <x:c r="D108" s="6"/>
      <x:c r="E108" s="6"/>
      <x:c r="F108" s="6"/>
      <x:c r="G108" s="6"/>
      <x:c r="H108" s="6"/>
    </x:row>
    <x:row r="109">
      <x:c r="A109" s="7"/>
      <x:c r="B109" s="7"/>
      <x:c r="C109" s="6"/>
      <x:c r="D109" s="6"/>
      <x:c r="E109" s="6"/>
      <x:c r="F109" s="6"/>
      <x:c r="G109" s="6"/>
      <x:c r="H109" s="6"/>
    </x:row>
    <x:row r="110">
      <x:c r="A110" s="7"/>
      <x:c r="B110" s="7"/>
      <x:c r="C110" s="6"/>
      <x:c r="D110" s="6"/>
      <x:c r="E110" s="6"/>
      <x:c r="F110" s="6"/>
      <x:c r="G110" s="6"/>
      <x:c r="H110" s="6"/>
    </x:row>
    <x:row r="111">
      <x:c r="A111" s="7"/>
      <x:c r="B111" s="7"/>
      <x:c r="C111" s="6"/>
      <x:c r="D111" s="6"/>
      <x:c r="E111" s="6"/>
      <x:c r="F111" s="6"/>
      <x:c r="G111" s="6"/>
      <x:c r="H111" s="6"/>
    </x:row>
    <x:row r="112">
      <x:c r="A112" s="7"/>
      <x:c r="B112" s="7"/>
      <x:c r="C112" s="6"/>
      <x:c r="D112" s="6"/>
      <x:c r="E112" s="6"/>
      <x:c r="F112" s="6"/>
      <x:c r="G112" s="6"/>
      <x:c r="H112" s="6"/>
    </x:row>
    <x:row r="113">
      <x:c r="A113" s="7"/>
      <x:c r="B113" s="7"/>
      <x:c r="C113" s="6"/>
      <x:c r="D113" s="6"/>
      <x:c r="E113" s="6"/>
      <x:c r="F113" s="6"/>
      <x:c r="G113" s="6"/>
      <x:c r="H113" s="6"/>
    </x:row>
    <x:row r="114">
      <x:c r="A114" s="7"/>
      <x:c r="B114" s="7"/>
      <x:c r="C114" s="6"/>
      <x:c r="D114" s="6"/>
      <x:c r="E114" s="6"/>
      <x:c r="F114" s="6"/>
      <x:c r="G114" s="6"/>
      <x:c r="H114" s="6"/>
    </x:row>
    <x:row r="115">
      <x:c r="A115" s="7"/>
      <x:c r="B115" s="7"/>
      <x:c r="C115" s="6"/>
      <x:c r="D115" s="6"/>
      <x:c r="E115" s="6"/>
      <x:c r="F115" s="6"/>
      <x:c r="G115" s="6"/>
      <x:c r="H115" s="6"/>
    </x:row>
    <x:row r="116">
      <x:c r="A116" s="7"/>
      <x:c r="B116" s="7"/>
      <x:c r="C116" s="6"/>
      <x:c r="D116" s="6"/>
      <x:c r="E116" s="6"/>
      <x:c r="F116" s="6"/>
      <x:c r="G116" s="6"/>
      <x:c r="H116" s="6"/>
    </x:row>
    <x:row r="117">
      <x:c r="A117" s="7"/>
      <x:c r="B117" s="7"/>
      <x:c r="C117" s="6"/>
      <x:c r="D117" s="6"/>
      <x:c r="E117" s="6"/>
      <x:c r="F117" s="6"/>
      <x:c r="G117" s="6"/>
      <x:c r="H117" s="6"/>
    </x:row>
    <x:row r="118">
      <x:c r="A118" s="7"/>
      <x:c r="B118" s="7"/>
      <x:c r="C118" s="6"/>
      <x:c r="D118" s="6"/>
      <x:c r="E118" s="6"/>
      <x:c r="F118" s="6"/>
      <x:c r="G118" s="6"/>
      <x:c r="H118" s="6"/>
    </x:row>
    <x:row r="119">
      <x:c r="A119" s="7"/>
      <x:c r="B119" s="7"/>
      <x:c r="C119" s="6"/>
      <x:c r="D119" s="6"/>
      <x:c r="E119" s="6"/>
      <x:c r="F119" s="6"/>
      <x:c r="G119" s="6"/>
      <x:c r="H119" s="6"/>
    </x:row>
    <x:row r="120">
      <x:c r="A120" s="7"/>
      <x:c r="B120" s="7"/>
      <x:c r="C120" s="6"/>
      <x:c r="D120" s="6"/>
      <x:c r="E120" s="6"/>
      <x:c r="F120" s="6"/>
      <x:c r="G120" s="6"/>
      <x:c r="H120" s="6"/>
    </x:row>
    <x:row r="121">
      <x:c r="A121" s="7"/>
      <x:c r="B121" s="7"/>
      <x:c r="C121" s="6"/>
      <x:c r="D121" s="6"/>
      <x:c r="E121" s="6"/>
      <x:c r="F121" s="6"/>
      <x:c r="G121" s="6"/>
      <x:c r="H121" s="6"/>
    </x:row>
    <x:row r="122">
      <x:c r="A122" s="7"/>
      <x:c r="B122" s="7"/>
      <x:c r="C122" s="6"/>
      <x:c r="D122" s="6"/>
      <x:c r="E122" s="6"/>
      <x:c r="F122" s="6"/>
      <x:c r="G122" s="6"/>
      <x:c r="H122" s="6"/>
    </x:row>
    <x:row r="123">
      <x:c r="A123" s="7"/>
      <x:c r="B123" s="7"/>
      <x:c r="C123" s="6"/>
      <x:c r="D123" s="6"/>
      <x:c r="E123" s="6"/>
      <x:c r="F123" s="6"/>
      <x:c r="G123" s="6"/>
      <x:c r="H123" s="6"/>
    </x:row>
    <x:row r="124">
      <x:c r="A124" s="7"/>
      <x:c r="B124" s="7"/>
      <x:c r="C124" s="6"/>
      <x:c r="D124" s="6"/>
      <x:c r="E124" s="6"/>
      <x:c r="F124" s="6"/>
      <x:c r="G124" s="6"/>
      <x:c r="H124" s="6"/>
    </x:row>
    <x:row r="125">
      <x:c r="A125" s="7"/>
      <x:c r="B125" s="7"/>
      <x:c r="C125" s="6"/>
      <x:c r="D125" s="6"/>
      <x:c r="E125" s="6"/>
      <x:c r="F125" s="6"/>
      <x:c r="G125" s="6"/>
      <x:c r="H125" s="6"/>
    </x:row>
    <x:row r="126">
      <x:c r="A126" s="7"/>
      <x:c r="B126" s="7"/>
      <x:c r="C126" s="6"/>
      <x:c r="D126" s="6"/>
      <x:c r="E126" s="6"/>
      <x:c r="F126" s="6"/>
      <x:c r="G126" s="6"/>
      <x:c r="H126" s="6"/>
    </x:row>
    <x:row r="127">
      <x:c r="A127" s="7"/>
      <x:c r="B127" s="7"/>
      <x:c r="C127" s="6"/>
      <x:c r="D127" s="6"/>
      <x:c r="E127" s="6"/>
      <x:c r="F127" s="6"/>
      <x:c r="G127" s="6"/>
      <x:c r="H127" s="6"/>
    </x:row>
    <x:row r="128">
      <x:c r="A128" s="7"/>
      <x:c r="B128" s="7"/>
      <x:c r="C128" s="6"/>
      <x:c r="D128" s="6"/>
      <x:c r="E128" s="6"/>
      <x:c r="F128" s="6"/>
      <x:c r="G128" s="6"/>
      <x:c r="H128" s="6"/>
    </x:row>
    <x:row r="129">
      <x:c r="A129" s="7"/>
      <x:c r="B129" s="7"/>
      <x:c r="C129" s="6"/>
      <x:c r="D129" s="6"/>
      <x:c r="E129" s="6"/>
      <x:c r="F129" s="6"/>
      <x:c r="G129" s="6"/>
      <x:c r="H129" s="6"/>
    </x:row>
    <x:row r="130">
      <x:c r="A130" s="7"/>
      <x:c r="B130" s="7"/>
      <x:c r="C130" s="6"/>
      <x:c r="D130" s="6"/>
      <x:c r="E130" s="6"/>
      <x:c r="F130" s="6"/>
      <x:c r="G130" s="6"/>
      <x:c r="H130" s="6"/>
    </x:row>
    <x:row r="131">
      <x:c r="A131" s="7"/>
      <x:c r="B131" s="7"/>
      <x:c r="C131" s="6"/>
      <x:c r="D131" s="6"/>
      <x:c r="E131" s="6"/>
      <x:c r="F131" s="6"/>
      <x:c r="G131" s="6"/>
      <x:c r="H131" s="6"/>
    </x:row>
    <x:row r="132">
      <x:c r="A132" s="7"/>
      <x:c r="B132" s="7"/>
      <x:c r="C132" s="6"/>
      <x:c r="D132" s="6"/>
      <x:c r="E132" s="6"/>
      <x:c r="F132" s="6"/>
      <x:c r="G132" s="6"/>
      <x:c r="H132" s="6"/>
    </x:row>
    <x:row r="133">
      <x:c r="A133" s="7"/>
      <x:c r="B133" s="7"/>
      <x:c r="C133" s="6"/>
      <x:c r="D133" s="6"/>
      <x:c r="E133" s="6"/>
      <x:c r="F133" s="6"/>
      <x:c r="G133" s="6"/>
      <x:c r="H133" s="6"/>
    </x:row>
    <x:row r="134">
      <x:c r="A134" s="7"/>
      <x:c r="B134" s="7"/>
      <x:c r="C134" s="6"/>
      <x:c r="D134" s="6"/>
      <x:c r="E134" s="6"/>
      <x:c r="F134" s="6"/>
      <x:c r="G134" s="6"/>
      <x:c r="H134" s="6"/>
    </x:row>
    <x:row r="135">
      <x:c r="A135" s="7"/>
      <x:c r="B135" s="7"/>
      <x:c r="C135" s="6"/>
      <x:c r="D135" s="6"/>
      <x:c r="E135" s="6"/>
      <x:c r="F135" s="6"/>
      <x:c r="G135" s="6"/>
      <x:c r="H135" s="6"/>
    </x:row>
    <x:row r="136">
      <x:c r="A136" s="7"/>
      <x:c r="B136" s="7"/>
      <x:c r="C136" s="6"/>
      <x:c r="D136" s="6"/>
      <x:c r="E136" s="6"/>
      <x:c r="F136" s="6"/>
      <x:c r="G136" s="6"/>
      <x:c r="H136" s="6"/>
    </x:row>
    <x:row r="137">
      <x:c r="A137" s="7"/>
      <x:c r="B137" s="7"/>
      <x:c r="C137" s="6"/>
      <x:c r="D137" s="6"/>
      <x:c r="E137" s="6"/>
      <x:c r="F137" s="6"/>
      <x:c r="G137" s="6"/>
      <x:c r="H137" s="6"/>
    </x:row>
    <x:row r="138">
      <x:c r="A138" s="7"/>
      <x:c r="B138" s="7"/>
      <x:c r="C138" s="6"/>
      <x:c r="D138" s="6"/>
      <x:c r="E138" s="6"/>
      <x:c r="F138" s="6"/>
      <x:c r="G138" s="6"/>
      <x:c r="H138" s="6"/>
    </x:row>
    <x:row r="139">
      <x:c r="A139" s="7"/>
      <x:c r="B139" s="7"/>
      <x:c r="C139" s="6"/>
      <x:c r="D139" s="6"/>
      <x:c r="E139" s="6"/>
      <x:c r="F139" s="6"/>
      <x:c r="G139" s="6"/>
      <x:c r="H139" s="6"/>
    </x:row>
    <x:row r="140">
      <x:c r="A140" s="7"/>
      <x:c r="B140" s="7"/>
      <x:c r="C140" s="6"/>
      <x:c r="D140" s="6"/>
      <x:c r="E140" s="6"/>
      <x:c r="F140" s="6"/>
      <x:c r="G140" s="6"/>
      <x:c r="H140" s="6"/>
    </x:row>
    <x:row r="141">
      <x:c r="A141" s="7"/>
      <x:c r="B141" s="7"/>
      <x:c r="C141" s="6"/>
      <x:c r="D141" s="6"/>
      <x:c r="E141" s="6"/>
      <x:c r="F141" s="6"/>
      <x:c r="G141" s="6"/>
      <x:c r="H141" s="6"/>
    </x:row>
    <x:row r="142">
      <x:c r="A142" s="7"/>
      <x:c r="B142" s="7"/>
      <x:c r="C142" s="6"/>
      <x:c r="D142" s="6"/>
      <x:c r="E142" s="6"/>
      <x:c r="F142" s="6"/>
      <x:c r="G142" s="6"/>
      <x:c r="H142" s="6"/>
    </x:row>
    <x:row r="143">
      <x:c r="A143" s="7"/>
      <x:c r="B143" s="7"/>
      <x:c r="C143" s="6"/>
      <x:c r="D143" s="6"/>
      <x:c r="E143" s="6"/>
      <x:c r="F143" s="6"/>
      <x:c r="G143" s="6"/>
      <x:c r="H143" s="6"/>
    </x:row>
    <x:row r="144">
      <x:c r="A144" s="7"/>
      <x:c r="B144" s="7"/>
      <x:c r="C144" s="6"/>
      <x:c r="D144" s="6"/>
      <x:c r="E144" s="6"/>
      <x:c r="F144" s="6"/>
      <x:c r="G144" s="6"/>
      <x:c r="H144" s="6"/>
    </x:row>
    <x:row r="145">
      <x:c r="A145" s="7"/>
      <x:c r="B145" s="7"/>
      <x:c r="C145" s="6"/>
      <x:c r="D145" s="6"/>
      <x:c r="E145" s="6"/>
      <x:c r="F145" s="6"/>
      <x:c r="G145" s="6"/>
      <x:c r="H145" s="6"/>
    </x:row>
    <x:row r="146">
      <x:c r="A146" s="7"/>
      <x:c r="B146" s="7"/>
      <x:c r="C146" s="6"/>
      <x:c r="D146" s="6"/>
      <x:c r="E146" s="6"/>
      <x:c r="F146" s="6"/>
      <x:c r="G146" s="6"/>
      <x:c r="H146" s="6"/>
    </x:row>
    <x:row r="147">
      <x:c r="A147" s="7"/>
      <x:c r="B147" s="7"/>
      <x:c r="C147" s="6"/>
      <x:c r="D147" s="6"/>
      <x:c r="E147" s="6"/>
      <x:c r="F147" s="6"/>
      <x:c r="G147" s="6"/>
      <x:c r="H147" s="6"/>
    </x:row>
    <x:row r="148">
      <x:c r="A148" s="7"/>
      <x:c r="B148" s="7"/>
      <x:c r="C148" s="6"/>
      <x:c r="D148" s="6"/>
      <x:c r="E148" s="6"/>
      <x:c r="F148" s="6"/>
      <x:c r="G148" s="6"/>
      <x:c r="H148" s="6"/>
    </x:row>
    <x:row r="149">
      <x:c r="A149" s="7"/>
      <x:c r="B149" s="7"/>
      <x:c r="C149" s="6"/>
      <x:c r="D149" s="6"/>
      <x:c r="E149" s="6"/>
      <x:c r="F149" s="6"/>
      <x:c r="G149" s="6"/>
      <x:c r="H149" s="6"/>
    </x:row>
    <x:row r="150">
      <x:c r="A150" s="7"/>
      <x:c r="B150" s="7"/>
      <x:c r="C150" s="6"/>
      <x:c r="D150" s="6"/>
      <x:c r="E150" s="6"/>
      <x:c r="F150" s="6"/>
      <x:c r="G150" s="6"/>
      <x:c r="H150" s="6"/>
    </x:row>
    <x:row r="151">
      <x:c r="A151" s="7"/>
      <x:c r="B151" s="7"/>
      <x:c r="C151" s="6"/>
      <x:c r="D151" s="6"/>
      <x:c r="E151" s="6"/>
      <x:c r="F151" s="6"/>
      <x:c r="G151" s="6"/>
      <x:c r="H151" s="6"/>
    </x:row>
    <x:row r="152">
      <x:c r="A152" s="7"/>
      <x:c r="B152" s="7"/>
      <x:c r="C152" s="6"/>
      <x:c r="D152" s="6"/>
      <x:c r="E152" s="6"/>
      <x:c r="F152" s="6"/>
      <x:c r="G152" s="6"/>
      <x:c r="H152" s="6"/>
    </x:row>
    <x:row r="153">
      <x:c r="A153" s="7"/>
      <x:c r="B153" s="7"/>
      <x:c r="C153" s="6"/>
      <x:c r="D153" s="6"/>
      <x:c r="E153" s="6"/>
      <x:c r="F153" s="6"/>
      <x:c r="G153" s="6"/>
      <x:c r="H153" s="6"/>
    </x:row>
    <x:row r="154">
      <x:c r="A154" s="7"/>
      <x:c r="B154" s="7"/>
      <x:c r="C154" s="6"/>
      <x:c r="D154" s="6"/>
      <x:c r="E154" s="6"/>
      <x:c r="F154" s="6"/>
      <x:c r="G154" s="6"/>
      <x:c r="H154" s="6"/>
    </x:row>
    <x:row r="155">
      <x:c r="A155" s="7"/>
      <x:c r="B155" s="7"/>
      <x:c r="C155" s="6"/>
      <x:c r="D155" s="6"/>
      <x:c r="E155" s="6"/>
      <x:c r="F155" s="6"/>
      <x:c r="G155" s="6"/>
      <x:c r="H155" s="6"/>
    </x:row>
    <x:row r="156">
      <x:c r="A156" s="7"/>
      <x:c r="B156" s="7"/>
      <x:c r="C156" s="6"/>
      <x:c r="D156" s="6"/>
      <x:c r="E156" s="6"/>
      <x:c r="F156" s="6"/>
      <x:c r="G156" s="6"/>
      <x:c r="H156" s="6"/>
    </x:row>
    <x:row r="157">
      <x:c r="A157" s="7"/>
      <x:c r="B157" s="7"/>
      <x:c r="C157" s="6"/>
      <x:c r="D157" s="6"/>
      <x:c r="E157" s="6"/>
      <x:c r="F157" s="6"/>
      <x:c r="G157" s="6"/>
      <x:c r="H157" s="6"/>
    </x:row>
    <x:row r="158">
      <x:c r="A158" s="7"/>
      <x:c r="B158" s="7"/>
      <x:c r="C158" s="6"/>
      <x:c r="D158" s="6"/>
      <x:c r="E158" s="6"/>
      <x:c r="F158" s="6"/>
      <x:c r="G158" s="6"/>
      <x:c r="H158" s="6"/>
    </x:row>
    <x:row r="159">
      <x:c r="A159" s="7"/>
      <x:c r="B159" s="7"/>
      <x:c r="C159" s="6"/>
      <x:c r="D159" s="6"/>
      <x:c r="E159" s="6"/>
      <x:c r="F159" s="6"/>
      <x:c r="G159" s="6"/>
      <x:c r="H159" s="6"/>
    </x:row>
    <x:row r="160">
      <x:c r="A160" s="7"/>
      <x:c r="B160" s="7"/>
      <x:c r="C160" s="6"/>
      <x:c r="D160" s="6"/>
      <x:c r="E160" s="6"/>
      <x:c r="F160" s="6"/>
      <x:c r="G160" s="6"/>
      <x:c r="H160" s="6"/>
    </x:row>
    <x:row r="161">
      <x:c r="A161" s="7"/>
      <x:c r="B161" s="7"/>
      <x:c r="C161" s="6"/>
      <x:c r="D161" s="6"/>
      <x:c r="E161" s="6"/>
      <x:c r="F161" s="6"/>
      <x:c r="G161" s="6"/>
      <x:c r="H161" s="6"/>
    </x:row>
    <x:row r="162">
      <x:c r="A162" s="7"/>
      <x:c r="B162" s="7"/>
      <x:c r="C162" s="6"/>
      <x:c r="D162" s="6"/>
      <x:c r="E162" s="6"/>
      <x:c r="F162" s="6"/>
      <x:c r="G162" s="6"/>
      <x:c r="H162" s="6"/>
    </x:row>
    <x:row r="163">
      <x:c r="A163" s="7"/>
      <x:c r="B163" s="7"/>
      <x:c r="C163" s="6"/>
      <x:c r="D163" s="6"/>
      <x:c r="E163" s="6"/>
      <x:c r="F163" s="6"/>
      <x:c r="G163" s="6"/>
      <x:c r="H163" s="6"/>
    </x:row>
    <x:row r="164">
      <x:c r="A164" s="7"/>
      <x:c r="B164" s="7"/>
      <x:c r="C164" s="6"/>
      <x:c r="D164" s="6"/>
      <x:c r="E164" s="6"/>
      <x:c r="F164" s="6"/>
      <x:c r="G164" s="6"/>
      <x:c r="H164" s="6"/>
    </x:row>
    <x:row r="165">
      <x:c r="A165" s="7"/>
      <x:c r="B165" s="7"/>
      <x:c r="C165" s="6"/>
      <x:c r="D165" s="6"/>
      <x:c r="E165" s="6"/>
      <x:c r="F165" s="6"/>
      <x:c r="G165" s="6"/>
      <x:c r="H165" s="6"/>
    </x:row>
    <x:row r="166">
      <x:c r="A166" s="7"/>
      <x:c r="B166" s="7"/>
      <x:c r="C166" s="6"/>
      <x:c r="D166" s="6"/>
      <x:c r="E166" s="6"/>
      <x:c r="F166" s="6"/>
      <x:c r="G166" s="6"/>
      <x:c r="H166" s="6"/>
    </x:row>
    <x:row r="167">
      <x:c r="A167" s="7"/>
      <x:c r="B167" s="7"/>
      <x:c r="C167" s="6"/>
      <x:c r="D167" s="6"/>
      <x:c r="E167" s="6"/>
      <x:c r="F167" s="6"/>
      <x:c r="G167" s="6"/>
      <x:c r="H167" s="6"/>
    </x:row>
    <x:row r="168">
      <x:c r="A168" s="7"/>
      <x:c r="B168" s="7"/>
      <x:c r="C168" s="6"/>
      <x:c r="D168" s="6"/>
      <x:c r="E168" s="6"/>
      <x:c r="F168" s="6"/>
      <x:c r="G168" s="6"/>
      <x:c r="H168" s="6"/>
    </x:row>
    <x:row r="169">
      <x:c r="A169" s="7"/>
      <x:c r="B169" s="7"/>
      <x:c r="C169" s="6"/>
      <x:c r="D169" s="6"/>
      <x:c r="E169" s="6"/>
      <x:c r="F169" s="6"/>
      <x:c r="G169" s="6"/>
      <x:c r="H169" s="6"/>
    </x:row>
    <x:row r="170">
      <x:c r="A170" s="7"/>
      <x:c r="B170" s="7"/>
      <x:c r="C170" s="6"/>
      <x:c r="D170" s="6"/>
      <x:c r="E170" s="6"/>
      <x:c r="F170" s="6"/>
      <x:c r="G170" s="6"/>
      <x:c r="H170" s="6"/>
    </x:row>
    <x:row r="171">
      <x:c r="A171" s="7"/>
      <x:c r="B171" s="7"/>
      <x:c r="C171" s="6"/>
      <x:c r="D171" s="6"/>
      <x:c r="E171" s="6"/>
      <x:c r="F171" s="6"/>
      <x:c r="G171" s="6"/>
      <x:c r="H171" s="6"/>
    </x:row>
    <x:row r="172">
      <x:c r="A172" s="7"/>
      <x:c r="B172" s="7"/>
      <x:c r="C172" s="6"/>
      <x:c r="D172" s="6"/>
      <x:c r="E172" s="6"/>
      <x:c r="F172" s="6"/>
      <x:c r="G172" s="6"/>
      <x:c r="H172" s="6"/>
    </x:row>
    <x:row r="173">
      <x:c r="A173" s="7"/>
      <x:c r="B173" s="7"/>
      <x:c r="C173" s="6"/>
      <x:c r="D173" s="6"/>
      <x:c r="E173" s="6"/>
      <x:c r="F173" s="6"/>
      <x:c r="G173" s="6"/>
      <x:c r="H173" s="6"/>
    </x:row>
    <x:row r="174">
      <x:c r="A174" s="7"/>
      <x:c r="B174" s="7"/>
      <x:c r="C174" s="6"/>
      <x:c r="D174" s="6"/>
      <x:c r="E174" s="6"/>
      <x:c r="F174" s="6"/>
      <x:c r="G174" s="6"/>
      <x:c r="H174" s="6"/>
    </x:row>
    <x:row r="175">
      <x:c r="A175" s="7"/>
      <x:c r="B175" s="7"/>
      <x:c r="C175" s="6"/>
      <x:c r="D175" s="6"/>
      <x:c r="E175" s="6"/>
      <x:c r="F175" s="6"/>
      <x:c r="G175" s="6"/>
      <x:c r="H175" s="6"/>
    </x:row>
    <x:row r="176">
      <x:c r="A176" s="7"/>
      <x:c r="B176" s="7"/>
      <x:c r="C176" s="6"/>
      <x:c r="D176" s="6"/>
      <x:c r="E176" s="6"/>
      <x:c r="F176" s="6"/>
      <x:c r="G176" s="6"/>
      <x:c r="H176" s="6"/>
    </x:row>
    <x:row r="177">
      <x:c r="A177" s="7"/>
      <x:c r="B177" s="7"/>
      <x:c r="C177" s="6"/>
      <x:c r="D177" s="6"/>
      <x:c r="E177" s="6"/>
      <x:c r="F177" s="6"/>
      <x:c r="G177" s="6"/>
      <x:c r="H177" s="6"/>
    </x:row>
    <x:row r="178">
      <x:c r="A178" s="7"/>
      <x:c r="B178" s="7"/>
      <x:c r="C178" s="6"/>
      <x:c r="D178" s="6"/>
      <x:c r="E178" s="6"/>
      <x:c r="F178" s="6"/>
      <x:c r="G178" s="6"/>
      <x:c r="H178" s="6"/>
    </x:row>
    <x:row r="179">
      <x:c r="A179" s="7"/>
      <x:c r="B179" s="7"/>
      <x:c r="C179" s="6"/>
      <x:c r="D179" s="6"/>
      <x:c r="E179" s="6"/>
      <x:c r="F179" s="6"/>
      <x:c r="G179" s="6"/>
      <x:c r="H179" s="6"/>
    </x:row>
    <x:row r="180">
      <x:c r="A180" s="7"/>
      <x:c r="B180" s="7"/>
      <x:c r="C180" s="6"/>
      <x:c r="D180" s="6"/>
      <x:c r="E180" s="6"/>
      <x:c r="F180" s="6"/>
      <x:c r="G180" s="6"/>
      <x:c r="H180" s="6"/>
    </x:row>
    <x:row r="181">
      <x:c r="A181" s="7"/>
      <x:c r="B181" s="7"/>
      <x:c r="C181" s="6"/>
      <x:c r="D181" s="6"/>
      <x:c r="E181" s="6"/>
      <x:c r="F181" s="6"/>
      <x:c r="G181" s="6"/>
      <x:c r="H181" s="6"/>
    </x:row>
    <x:row r="182">
      <x:c r="A182" s="7"/>
      <x:c r="B182" s="7"/>
      <x:c r="C182" s="6"/>
      <x:c r="D182" s="6"/>
      <x:c r="E182" s="6"/>
      <x:c r="F182" s="6"/>
      <x:c r="G182" s="6"/>
      <x:c r="H182" s="6"/>
    </x:row>
    <x:row r="183">
      <x:c r="A183" s="7"/>
      <x:c r="B183" s="7"/>
      <x:c r="C183" s="6"/>
      <x:c r="D183" s="6"/>
      <x:c r="E183" s="6"/>
      <x:c r="F183" s="6"/>
      <x:c r="G183" s="6"/>
      <x:c r="H183" s="6"/>
    </x:row>
    <x:row r="184">
      <x:c r="A184" s="7"/>
      <x:c r="B184" s="7"/>
      <x:c r="C184" s="6"/>
      <x:c r="D184" s="6"/>
      <x:c r="E184" s="6"/>
      <x:c r="F184" s="6"/>
      <x:c r="G184" s="6"/>
      <x:c r="H184" s="6"/>
    </x:row>
    <x:row r="185">
      <x:c r="A185" s="7"/>
      <x:c r="B185" s="7"/>
      <x:c r="C185" s="6"/>
      <x:c r="D185" s="6"/>
      <x:c r="E185" s="6"/>
      <x:c r="F185" s="6"/>
      <x:c r="G185" s="6"/>
      <x:c r="H185" s="6"/>
    </x:row>
    <x:row r="186">
      <x:c r="A186" s="7"/>
      <x:c r="B186" s="7"/>
      <x:c r="C186" s="6"/>
      <x:c r="D186" s="6"/>
      <x:c r="E186" s="6"/>
      <x:c r="F186" s="6"/>
      <x:c r="G186" s="6"/>
      <x:c r="H186" s="6"/>
    </x:row>
    <x:row r="187">
      <x:c r="A187" s="7"/>
      <x:c r="B187" s="7"/>
      <x:c r="C187" s="6"/>
      <x:c r="D187" s="6"/>
      <x:c r="E187" s="6"/>
      <x:c r="F187" s="6"/>
      <x:c r="G187" s="6"/>
      <x:c r="H187" s="6"/>
    </x:row>
    <x:row r="188">
      <x:c r="A188" s="7"/>
      <x:c r="B188" s="7"/>
      <x:c r="C188" s="6"/>
      <x:c r="D188" s="6"/>
      <x:c r="E188" s="6"/>
      <x:c r="F188" s="6"/>
      <x:c r="G188" s="6"/>
      <x:c r="H188" s="6"/>
    </x:row>
    <x:row r="189">
      <x:c r="A189" s="7"/>
      <x:c r="B189" s="7"/>
      <x:c r="C189" s="6"/>
      <x:c r="D189" s="6"/>
      <x:c r="E189" s="6"/>
      <x:c r="F189" s="6"/>
      <x:c r="G189" s="6"/>
      <x:c r="H189" s="6"/>
    </x:row>
    <x:row r="190">
      <x:c r="A190" s="7"/>
      <x:c r="B190" s="7"/>
      <x:c r="C190" s="6"/>
      <x:c r="D190" s="6"/>
      <x:c r="E190" s="6"/>
      <x:c r="F190" s="6"/>
      <x:c r="G190" s="6"/>
      <x:c r="H190" s="6"/>
    </x:row>
    <x:row r="191">
      <x:c r="A191" s="7"/>
      <x:c r="B191" s="7"/>
      <x:c r="C191" s="6"/>
      <x:c r="D191" s="6"/>
      <x:c r="E191" s="6"/>
      <x:c r="F191" s="6"/>
      <x:c r="G191" s="6"/>
      <x:c r="H191" s="6"/>
    </x:row>
    <x:row r="192">
      <x:c r="A192" s="7"/>
      <x:c r="B192" s="7"/>
      <x:c r="C192" s="6"/>
      <x:c r="D192" s="6"/>
      <x:c r="E192" s="6"/>
      <x:c r="F192" s="6"/>
      <x:c r="G192" s="6"/>
      <x:c r="H192" s="6"/>
    </x:row>
    <x:row r="193">
      <x:c r="A193" s="7"/>
      <x:c r="B193" s="7"/>
      <x:c r="C193" s="6"/>
      <x:c r="D193" s="6"/>
      <x:c r="E193" s="6"/>
      <x:c r="F193" s="6"/>
      <x:c r="G193" s="6"/>
      <x:c r="H193" s="6"/>
    </x:row>
    <x:row r="194">
      <x:c r="A194" s="7"/>
      <x:c r="B194" s="7"/>
      <x:c r="C194" s="6"/>
      <x:c r="D194" s="6"/>
      <x:c r="E194" s="6"/>
      <x:c r="F194" s="6"/>
      <x:c r="G194" s="6"/>
      <x:c r="H194" s="6"/>
    </x:row>
    <x:row r="195">
      <x:c r="A195" s="7"/>
      <x:c r="B195" s="7"/>
      <x:c r="C195" s="6"/>
      <x:c r="D195" s="6"/>
      <x:c r="E195" s="6"/>
      <x:c r="F195" s="6"/>
      <x:c r="G195" s="6"/>
      <x:c r="H195" s="6"/>
    </x:row>
    <x:row r="196">
      <x:c r="A196" s="7"/>
      <x:c r="B196" s="7"/>
      <x:c r="C196" s="6"/>
      <x:c r="D196" s="6"/>
      <x:c r="E196" s="6"/>
      <x:c r="F196" s="6"/>
      <x:c r="G196" s="6"/>
      <x:c r="H196" s="6"/>
    </x:row>
    <x:row r="197">
      <x:c r="A197" s="7"/>
      <x:c r="B197" s="7"/>
      <x:c r="C197" s="6"/>
      <x:c r="D197" s="6"/>
      <x:c r="E197" s="6"/>
      <x:c r="F197" s="6"/>
      <x:c r="G197" s="6"/>
      <x:c r="H197" s="6"/>
    </x:row>
    <x:row r="198">
      <x:c r="A198" s="7"/>
      <x:c r="B198" s="7"/>
      <x:c r="C198" s="6"/>
      <x:c r="D198" s="6"/>
      <x:c r="E198" s="6"/>
      <x:c r="F198" s="6"/>
      <x:c r="G198" s="6"/>
      <x:c r="H198" s="6"/>
    </x:row>
    <x:row r="199">
      <x:c r="A199" s="7"/>
      <x:c r="B199" s="7"/>
      <x:c r="C199" s="6"/>
      <x:c r="D199" s="6"/>
      <x:c r="E199" s="6"/>
      <x:c r="F199" s="6"/>
      <x:c r="G199" s="6"/>
      <x:c r="H199" s="6"/>
    </x:row>
    <x:row r="200">
      <x:c r="A200" s="7"/>
      <x:c r="B200" s="7"/>
      <x:c r="C200" s="6"/>
      <x:c r="D200" s="6"/>
      <x:c r="E200" s="6"/>
      <x:c r="F200" s="6"/>
      <x:c r="G200" s="6"/>
      <x:c r="H200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0" hidden="0" customWidth="1"/>
    <x:col min="4" max="4" width="18" hidden="0" customWidth="1"/>
    <x:col min="5" max="5" width="15" hidden="0" customWidth="1"/>
    <x:col min="6" max="6" width="18" hidden="0" customWidth="1"/>
    <x:col min="7" max="7" width="62" hidden="0" customWidth="1"/>
  </x:cols>
  <x:sheetData>
    <x:row r="1" ht="25" customHeight="1">
      <x:c r="A1" s="7"/>
      <x:c r="B1" s="7"/>
      <x:c r="C1" s="4" t="str">
        <x:v>NVIDIA FY2026 filing inputs</x:v>
      </x:c>
      <x:c r="D1" s="4"/>
      <x:c r="E1" s="4"/>
      <x:c r="F1" s="4"/>
      <x:c r="G1" s="4"/>
      <x:c r="H1" s="4"/>
    </x:row>
    <x:row r="2">
      <x:c r="A2" s="7"/>
      <x:c r="B2" s="7"/>
      <x:c r="C2" s="5" t="str">
        <x:v>USD billions unless stated | Fiscal year ended 25 January 2026; filed 25 February 2026. The cash-use lines are not the complete working-capital bridge.</x:v>
      </x:c>
      <x:c r="D2" s="5"/>
      <x:c r="E2" s="5"/>
      <x:c r="F2" s="5"/>
      <x:c r="G2" s="5"/>
      <x:c r="H2" s="5"/>
    </x:row>
    <x:row r="3">
      <x:c r="A3" s="7"/>
      <x:c r="B3" s="7"/>
      <x:c r="C3" s="6"/>
      <x:c r="D3" s="6"/>
      <x:c r="E3" s="6"/>
      <x:c r="F3" s="6"/>
      <x:c r="G3" s="6"/>
      <x:c r="H3" s="6"/>
    </x:row>
    <x:row r="4">
      <x:c r="A4" s="7"/>
      <x:c r="B4" s="7"/>
      <x:c r="C4" s="6"/>
      <x:c r="D4" s="6"/>
      <x:c r="E4" s="6"/>
      <x:c r="F4" s="6"/>
      <x:c r="G4" s="6"/>
      <x:c r="H4" s="6"/>
    </x:row>
    <x:row r="5" ht="30" customHeight="1">
      <x:c r="A5" s="7"/>
      <x:c r="B5" s="7"/>
      <x:c r="C5" s="22" t="str">
        <x:v>Filed item</x:v>
      </x:c>
      <x:c r="D5" s="22" t="str">
        <x:v>Amount</x:v>
      </x:c>
      <x:c r="E5" s="22" t="str">
        <x:v>Unit</x:v>
      </x:c>
      <x:c r="F5" s="22" t="str">
        <x:v>Source ID</x:v>
      </x:c>
      <x:c r="G5" s="22" t="str">
        <x:v>Status / reading note</x:v>
      </x:c>
      <x:c r="H5" s="6"/>
    </x:row>
    <x:row r="6">
      <x:c r="A6" s="7"/>
      <x:c r="B6" s="7"/>
      <x:c r="C6" s="40" t="str">
        <x:v>Net income</x:v>
      </x:c>
      <x:c r="D6" s="46" t="n">
        <x:v>120.067</x:v>
      </x:c>
      <x:c r="E6" s="24" t="str">
        <x:v>USD bn</x:v>
      </x:c>
      <x:c r="F6" s="24" t="str">
        <x:v>NVDA-10K</x:v>
      </x:c>
      <x:c r="G6" s="40" t="str">
        <x:v>Reported</x:v>
      </x:c>
      <x:c r="H6" s="6"/>
    </x:row>
    <x:row r="7">
      <x:c r="A7" s="7"/>
      <x:c r="B7" s="7"/>
      <x:c r="C7" s="41" t="str">
        <x:v>Stock-based compensation</x:v>
      </x:c>
      <x:c r="D7" s="47" t="n">
        <x:v>6.386</x:v>
      </x:c>
      <x:c r="E7" s="25" t="str">
        <x:v>USD bn</x:v>
      </x:c>
      <x:c r="F7" s="25" t="str">
        <x:v>NVDA-10K</x:v>
      </x:c>
      <x:c r="G7" s="41" t="str">
        <x:v>Reported noncash add-back in operating cash flow</x:v>
      </x:c>
      <x:c r="H7" s="6"/>
    </x:row>
    <x:row r="8">
      <x:c r="A8" s="7"/>
      <x:c r="B8" s="7"/>
      <x:c r="C8" s="41" t="str">
        <x:v>Depreciation and amortization</x:v>
      </x:c>
      <x:c r="D8" s="47" t="n">
        <x:v>2.843</x:v>
      </x:c>
      <x:c r="E8" s="25" t="str">
        <x:v>USD bn</x:v>
      </x:c>
      <x:c r="F8" s="25" t="str">
        <x:v>NVDA-10K</x:v>
      </x:c>
      <x:c r="G8" s="41" t="str">
        <x:v>Reported</x:v>
      </x:c>
      <x:c r="H8" s="6"/>
    </x:row>
    <x:row r="9">
      <x:c r="A9" s="7"/>
      <x:c r="B9" s="7"/>
      <x:c r="C9" s="41" t="str">
        <x:v>Capital expenditures</x:v>
      </x:c>
      <x:c r="D9" s="47" t="n">
        <x:v>6.1</x:v>
      </x:c>
      <x:c r="E9" s="25" t="str">
        <x:v>USD bn</x:v>
      </x:c>
      <x:c r="F9" s="25" t="str">
        <x:v>NVDA-10K</x:v>
      </x:c>
      <x:c r="G9" s="41" t="str">
        <x:v>Management MD&amp;A total rounded to one decimal; cash-flow statement separately reports purchases and principal payments; maintenance split not disclosed</x:v>
      </x:c>
      <x:c r="H9" s="6"/>
    </x:row>
    <x:row r="10">
      <x:c r="A10" s="7"/>
      <x:c r="B10" s="7"/>
      <x:c r="C10" s="41" t="str">
        <x:v>Accounts receivable cash use</x:v>
      </x:c>
      <x:c r="D10" s="47" t="n">
        <x:v>15.399</x:v>
      </x:c>
      <x:c r="E10" s="25" t="str">
        <x:v>USD bn</x:v>
      </x:c>
      <x:c r="F10" s="25" t="str">
        <x:v>NVDA-10K</x:v>
      </x:c>
      <x:c r="G10" s="41" t="str">
        <x:v>Reported cash-flow use, net of acquisitions</x:v>
      </x:c>
      <x:c r="H10" s="6"/>
    </x:row>
    <x:row r="11">
      <x:c r="A11" s="7"/>
      <x:c r="B11" s="7"/>
      <x:c r="C11" s="41" t="str">
        <x:v>Inventory cash use</x:v>
      </x:c>
      <x:c r="D11" s="47" t="n">
        <x:v>11.324</x:v>
      </x:c>
      <x:c r="E11" s="25" t="str">
        <x:v>USD bn</x:v>
      </x:c>
      <x:c r="F11" s="25" t="str">
        <x:v>NVDA-10K</x:v>
      </x:c>
      <x:c r="G11" s="41" t="str">
        <x:v>Reported cash-flow use, net of acquisitions</x:v>
      </x:c>
      <x:c r="H11" s="6"/>
    </x:row>
    <x:row r="12">
      <x:c r="A12" s="7"/>
      <x:c r="B12" s="7"/>
      <x:c r="C12" s="41" t="str">
        <x:v>AR plus inventory gross uses</x:v>
      </x:c>
      <x:c r="D12" s="44" t="n">
        <x:f>D10+D11</x:f>
        <x:v>26.723</x:v>
      </x:c>
      <x:c r="E12" s="25" t="str">
        <x:v>USD bn</x:v>
      </x:c>
      <x:c r="F12" s="25" t="str">
        <x:v>Calculated</x:v>
      </x:c>
      <x:c r="G12" s="41" t="str">
        <x:v>Does not net payables or other balances</x:v>
      </x:c>
      <x:c r="H12" s="6"/>
    </x:row>
    <x:row r="13">
      <x:c r="A13" s="7"/>
      <x:c r="B13" s="7"/>
      <x:c r="C13" s="41" t="str">
        <x:v>Purchase / capacity obligations</x:v>
      </x:c>
      <x:c r="D13" s="47" t="n">
        <x:v>95.2</x:v>
      </x:c>
      <x:c r="E13" s="25" t="str">
        <x:v>USD bn</x:v>
      </x:c>
      <x:c r="F13" s="25" t="str">
        <x:v>NVDA-10K</x:v>
      </x:c>
      <x:c r="G13" s="41" t="str">
        <x:v>Disclosed outstanding obligation; timing/terms vary</x:v>
      </x:c>
      <x:c r="H13" s="6"/>
    </x:row>
    <x:row r="14">
      <x:c r="A14" s="7"/>
      <x:c r="B14" s="7"/>
      <x:c r="C14" s="41" t="str">
        <x:v>Accounts receivable, closing balance</x:v>
      </x:c>
      <x:c r="D14" s="47" t="n">
        <x:v>38.466</x:v>
      </x:c>
      <x:c r="E14" s="25" t="str">
        <x:v>USD bn</x:v>
      </x:c>
      <x:c r="F14" s="25" t="str">
        <x:v>NVDA-10K</x:v>
      </x:c>
      <x:c r="G14" s="41" t="str">
        <x:v>Reported balance at year end</x:v>
      </x:c>
      <x:c r="H14" s="6"/>
    </x:row>
    <x:row r="15">
      <x:c r="A15" s="7"/>
      <x:c r="B15" s="7"/>
      <x:c r="C15" s="42" t="str">
        <x:v>Inventory, closing balance</x:v>
      </x:c>
      <x:c r="D15" s="48" t="n">
        <x:v>21.403</x:v>
      </x:c>
      <x:c r="E15" s="26" t="str">
        <x:v>USD bn</x:v>
      </x:c>
      <x:c r="F15" s="26" t="str">
        <x:v>NVDA-10K</x:v>
      </x:c>
      <x:c r="G15" s="42" t="str">
        <x:v>Reported balance at year end</x:v>
      </x:c>
      <x:c r="H15" s="6"/>
    </x:row>
    <x:row r="16">
      <x:c r="A16" s="7"/>
      <x:c r="B16" s="7"/>
      <x:c r="C16" s="6"/>
      <x:c r="D16" s="6"/>
      <x:c r="E16" s="6"/>
      <x:c r="F16" s="6"/>
      <x:c r="G16" s="6"/>
      <x:c r="H16" s="6"/>
    </x:row>
    <x:row r="17">
      <x:c r="A17" s="7"/>
      <x:c r="B17" s="7"/>
      <x:c r="C17" s="6"/>
      <x:c r="D17" s="6"/>
      <x:c r="E17" s="6"/>
      <x:c r="F17" s="6"/>
      <x:c r="G17" s="6"/>
      <x:c r="H17" s="6"/>
    </x:row>
    <x:row r="18">
      <x:c r="A18" s="7"/>
      <x:c r="B18" s="7"/>
      <x:c r="C18" s="6"/>
      <x:c r="D18" s="6"/>
      <x:c r="E18" s="6"/>
      <x:c r="F18" s="6"/>
      <x:c r="G18" s="6"/>
      <x:c r="H18" s="6"/>
    </x:row>
    <x:row r="19">
      <x:c r="A19" s="7"/>
      <x:c r="B19" s="7"/>
      <x:c r="C19" s="6"/>
      <x:c r="D19" s="6"/>
      <x:c r="E19" s="6"/>
      <x:c r="F19" s="6"/>
      <x:c r="G19" s="6"/>
      <x:c r="H19" s="6"/>
    </x:row>
    <x:row r="20">
      <x:c r="A20" s="7"/>
      <x:c r="B20" s="7"/>
      <x:c r="C20" s="6"/>
      <x:c r="D20" s="6"/>
      <x:c r="E20" s="6"/>
      <x:c r="F20" s="6"/>
      <x:c r="G20" s="6"/>
      <x:c r="H20" s="6"/>
    </x:row>
    <x:row r="21">
      <x:c r="A21" s="7"/>
      <x:c r="B21" s="7"/>
      <x:c r="C21" s="6"/>
      <x:c r="D21" s="6"/>
      <x:c r="E21" s="6"/>
      <x:c r="F21" s="6"/>
      <x:c r="G21" s="6"/>
      <x:c r="H21" s="6"/>
    </x:row>
    <x:row r="22">
      <x:c r="A22" s="7"/>
      <x:c r="B22" s="7"/>
      <x:c r="C22" s="6"/>
      <x:c r="D22" s="6"/>
      <x:c r="E22" s="6"/>
      <x:c r="F22" s="6"/>
      <x:c r="G22" s="6"/>
      <x:c r="H22" s="6"/>
    </x:row>
    <x:row r="23">
      <x:c r="A23" s="7"/>
      <x:c r="B23" s="7"/>
      <x:c r="C23" s="6"/>
      <x:c r="D23" s="6"/>
      <x:c r="E23" s="6"/>
      <x:c r="F23" s="6"/>
      <x:c r="G23" s="6"/>
      <x:c r="H23" s="6"/>
    </x:row>
    <x:row r="24">
      <x:c r="A24" s="7"/>
      <x:c r="B24" s="7"/>
      <x:c r="C24" s="6"/>
      <x:c r="D24" s="6"/>
      <x:c r="E24" s="6"/>
      <x:c r="F24" s="6"/>
      <x:c r="G24" s="6"/>
      <x:c r="H24" s="6"/>
    </x:row>
    <x:row r="25">
      <x:c r="A25" s="7"/>
      <x:c r="B25" s="7"/>
      <x:c r="C25" s="6"/>
      <x:c r="D25" s="6"/>
      <x:c r="E25" s="6"/>
      <x:c r="F25" s="6"/>
      <x:c r="G25" s="6"/>
      <x:c r="H25" s="6"/>
    </x:row>
    <x:row r="26">
      <x:c r="A26" s="7"/>
      <x:c r="B26" s="7"/>
      <x:c r="C26" s="6"/>
      <x:c r="D26" s="6"/>
      <x:c r="E26" s="6"/>
      <x:c r="F26" s="6"/>
      <x:c r="G26" s="6"/>
      <x:c r="H26" s="6"/>
    </x:row>
    <x:row r="27">
      <x:c r="A27" s="7"/>
      <x:c r="B27" s="7"/>
      <x:c r="C27" s="6"/>
      <x:c r="D27" s="6"/>
      <x:c r="E27" s="6"/>
      <x:c r="F27" s="6"/>
      <x:c r="G27" s="6"/>
      <x:c r="H27" s="6"/>
    </x:row>
    <x:row r="28">
      <x:c r="A28" s="7"/>
      <x:c r="B28" s="7"/>
      <x:c r="C28" s="6"/>
      <x:c r="D28" s="6"/>
      <x:c r="E28" s="6"/>
      <x:c r="F28" s="6"/>
      <x:c r="G28" s="6"/>
      <x:c r="H28" s="6"/>
    </x:row>
    <x:row r="29">
      <x:c r="A29" s="7"/>
      <x:c r="B29" s="7"/>
      <x:c r="C29" s="6"/>
      <x:c r="D29" s="6"/>
      <x:c r="E29" s="6"/>
      <x:c r="F29" s="6"/>
      <x:c r="G29" s="6"/>
      <x:c r="H29" s="6"/>
    </x:row>
    <x:row r="30">
      <x:c r="A30" s="7"/>
      <x:c r="B30" s="7"/>
      <x:c r="C30" s="6"/>
      <x:c r="D30" s="6"/>
      <x:c r="E30" s="6"/>
      <x:c r="F30" s="6"/>
      <x:c r="G30" s="6"/>
      <x:c r="H30" s="6"/>
    </x:row>
    <x:row r="31">
      <x:c r="A31" s="7"/>
      <x:c r="B31" s="7"/>
      <x:c r="C31" s="6"/>
      <x:c r="D31" s="6"/>
      <x:c r="E31" s="6"/>
      <x:c r="F31" s="6"/>
      <x:c r="G31" s="6"/>
      <x:c r="H31" s="6"/>
    </x:row>
    <x:row r="32">
      <x:c r="A32" s="7"/>
      <x:c r="B32" s="7"/>
      <x:c r="C32" s="6"/>
      <x:c r="D32" s="6"/>
      <x:c r="E32" s="6"/>
      <x:c r="F32" s="6"/>
      <x:c r="G32" s="6"/>
      <x:c r="H32" s="6"/>
    </x:row>
    <x:row r="33">
      <x:c r="A33" s="7"/>
      <x:c r="B33" s="7"/>
      <x:c r="C33" s="6"/>
      <x:c r="D33" s="6"/>
      <x:c r="E33" s="6"/>
      <x:c r="F33" s="6"/>
      <x:c r="G33" s="6"/>
      <x:c r="H33" s="6"/>
    </x:row>
    <x:row r="34">
      <x:c r="A34" s="7"/>
      <x:c r="B34" s="7"/>
      <x:c r="C34" s="6"/>
      <x:c r="D34" s="6"/>
      <x:c r="E34" s="6"/>
      <x:c r="F34" s="6"/>
      <x:c r="G34" s="6"/>
      <x:c r="H34" s="6"/>
    </x:row>
    <x:row r="35">
      <x:c r="A35" s="7"/>
      <x:c r="B35" s="7"/>
      <x:c r="C35" s="6"/>
      <x:c r="D35" s="6"/>
      <x:c r="E35" s="6"/>
      <x:c r="F35" s="6"/>
      <x:c r="G35" s="6"/>
      <x:c r="H35" s="6"/>
    </x:row>
    <x:row r="36">
      <x:c r="A36" s="7"/>
      <x:c r="B36" s="7"/>
      <x:c r="C36" s="6"/>
      <x:c r="D36" s="6"/>
      <x:c r="E36" s="6"/>
      <x:c r="F36" s="6"/>
      <x:c r="G36" s="6"/>
      <x:c r="H36" s="6"/>
    </x:row>
    <x:row r="37">
      <x:c r="A37" s="7"/>
      <x:c r="B37" s="7"/>
      <x:c r="C37" s="6"/>
      <x:c r="D37" s="6"/>
      <x:c r="E37" s="6"/>
      <x:c r="F37" s="6"/>
      <x:c r="G37" s="6"/>
      <x:c r="H37" s="6"/>
    </x:row>
    <x:row r="38">
      <x:c r="A38" s="7"/>
      <x:c r="B38" s="7"/>
      <x:c r="C38" s="6"/>
      <x:c r="D38" s="6"/>
      <x:c r="E38" s="6"/>
      <x:c r="F38" s="6"/>
      <x:c r="G38" s="6"/>
      <x:c r="H38" s="6"/>
    </x:row>
    <x:row r="39">
      <x:c r="A39" s="7"/>
      <x:c r="B39" s="7"/>
      <x:c r="C39" s="6"/>
      <x:c r="D39" s="6"/>
      <x:c r="E39" s="6"/>
      <x:c r="F39" s="6"/>
      <x:c r="G39" s="6"/>
      <x:c r="H39" s="6"/>
    </x:row>
    <x:row r="40">
      <x:c r="A40" s="7"/>
      <x:c r="B40" s="7"/>
      <x:c r="C40" s="6"/>
      <x:c r="D40" s="6"/>
      <x:c r="E40" s="6"/>
      <x:c r="F40" s="6"/>
      <x:c r="G40" s="6"/>
      <x:c r="H40" s="6"/>
    </x:row>
    <x:row r="41">
      <x:c r="A41" s="7"/>
      <x:c r="B41" s="7"/>
      <x:c r="C41" s="6"/>
      <x:c r="D41" s="6"/>
      <x:c r="E41" s="6"/>
      <x:c r="F41" s="6"/>
      <x:c r="G41" s="6"/>
      <x:c r="H41" s="6"/>
    </x:row>
    <x:row r="42">
      <x:c r="A42" s="7"/>
      <x:c r="B42" s="7"/>
      <x:c r="C42" s="6"/>
      <x:c r="D42" s="6"/>
      <x:c r="E42" s="6"/>
      <x:c r="F42" s="6"/>
      <x:c r="G42" s="6"/>
      <x:c r="H42" s="6"/>
    </x:row>
    <x:row r="43">
      <x:c r="A43" s="7"/>
      <x:c r="B43" s="7"/>
      <x:c r="C43" s="6"/>
      <x:c r="D43" s="6"/>
      <x:c r="E43" s="6"/>
      <x:c r="F43" s="6"/>
      <x:c r="G43" s="6"/>
      <x:c r="H43" s="6"/>
    </x:row>
    <x:row r="44">
      <x:c r="A44" s="7"/>
      <x:c r="B44" s="7"/>
      <x:c r="C44" s="6"/>
      <x:c r="D44" s="6"/>
      <x:c r="E44" s="6"/>
      <x:c r="F44" s="6"/>
      <x:c r="G44" s="6"/>
      <x:c r="H44" s="6"/>
    </x:row>
    <x:row r="45">
      <x:c r="A45" s="7"/>
      <x:c r="B45" s="7"/>
      <x:c r="C45" s="6"/>
      <x:c r="D45" s="6"/>
      <x:c r="E45" s="6"/>
      <x:c r="F45" s="6"/>
      <x:c r="G45" s="6"/>
      <x:c r="H45" s="6"/>
    </x:row>
    <x:row r="46">
      <x:c r="A46" s="7"/>
      <x:c r="B46" s="7"/>
      <x:c r="C46" s="6"/>
      <x:c r="D46" s="6"/>
      <x:c r="E46" s="6"/>
      <x:c r="F46" s="6"/>
      <x:c r="G46" s="6"/>
      <x:c r="H46" s="6"/>
    </x:row>
    <x:row r="47">
      <x:c r="A47" s="7"/>
      <x:c r="B47" s="7"/>
      <x:c r="C47" s="6"/>
      <x:c r="D47" s="6"/>
      <x:c r="E47" s="6"/>
      <x:c r="F47" s="6"/>
      <x:c r="G47" s="6"/>
      <x:c r="H47" s="6"/>
    </x:row>
    <x:row r="48">
      <x:c r="A48" s="7"/>
      <x:c r="B48" s="7"/>
      <x:c r="C48" s="6"/>
      <x:c r="D48" s="6"/>
      <x:c r="E48" s="6"/>
      <x:c r="F48" s="6"/>
      <x:c r="G48" s="6"/>
      <x:c r="H48" s="6"/>
    </x:row>
    <x:row r="49">
      <x:c r="A49" s="7"/>
      <x:c r="B49" s="7"/>
      <x:c r="C49" s="6"/>
      <x:c r="D49" s="6"/>
      <x:c r="E49" s="6"/>
      <x:c r="F49" s="6"/>
      <x:c r="G49" s="6"/>
      <x:c r="H49" s="6"/>
    </x:row>
    <x:row r="50">
      <x:c r="A50" s="7"/>
      <x:c r="B50" s="7"/>
      <x:c r="C50" s="6"/>
      <x:c r="D50" s="6"/>
      <x:c r="E50" s="6"/>
      <x:c r="F50" s="6"/>
      <x:c r="G50" s="6"/>
      <x:c r="H50" s="6"/>
    </x:row>
    <x:row r="51">
      <x:c r="A51" s="7"/>
      <x:c r="B51" s="7"/>
      <x:c r="C51" s="6"/>
      <x:c r="D51" s="6"/>
      <x:c r="E51" s="6"/>
      <x:c r="F51" s="6"/>
      <x:c r="G51" s="6"/>
      <x:c r="H51" s="6"/>
    </x:row>
    <x:row r="52">
      <x:c r="A52" s="7"/>
      <x:c r="B52" s="7"/>
      <x:c r="C52" s="6"/>
      <x:c r="D52" s="6"/>
      <x:c r="E52" s="6"/>
      <x:c r="F52" s="6"/>
      <x:c r="G52" s="6"/>
      <x:c r="H52" s="6"/>
    </x:row>
    <x:row r="53">
      <x:c r="A53" s="7"/>
      <x:c r="B53" s="7"/>
      <x:c r="C53" s="6"/>
      <x:c r="D53" s="6"/>
      <x:c r="E53" s="6"/>
      <x:c r="F53" s="6"/>
      <x:c r="G53" s="6"/>
      <x:c r="H53" s="6"/>
    </x:row>
    <x:row r="54">
      <x:c r="A54" s="7"/>
      <x:c r="B54" s="7"/>
      <x:c r="C54" s="6"/>
      <x:c r="D54" s="6"/>
      <x:c r="E54" s="6"/>
      <x:c r="F54" s="6"/>
      <x:c r="G54" s="6"/>
      <x:c r="H54" s="6"/>
    </x:row>
    <x:row r="55">
      <x:c r="A55" s="7"/>
      <x:c r="B55" s="7"/>
      <x:c r="C55" s="6"/>
      <x:c r="D55" s="6"/>
      <x:c r="E55" s="6"/>
      <x:c r="F55" s="6"/>
      <x:c r="G55" s="6"/>
      <x:c r="H55" s="6"/>
    </x:row>
    <x:row r="56">
      <x:c r="A56" s="7"/>
      <x:c r="B56" s="7"/>
      <x:c r="C56" s="6"/>
      <x:c r="D56" s="6"/>
      <x:c r="E56" s="6"/>
      <x:c r="F56" s="6"/>
      <x:c r="G56" s="6"/>
      <x:c r="H56" s="6"/>
    </x:row>
    <x:row r="57">
      <x:c r="A57" s="7"/>
      <x:c r="B57" s="7"/>
      <x:c r="C57" s="6"/>
      <x:c r="D57" s="6"/>
      <x:c r="E57" s="6"/>
      <x:c r="F57" s="6"/>
      <x:c r="G57" s="6"/>
      <x:c r="H57" s="6"/>
    </x:row>
    <x:row r="58">
      <x:c r="A58" s="7"/>
      <x:c r="B58" s="7"/>
      <x:c r="C58" s="6"/>
      <x:c r="D58" s="6"/>
      <x:c r="E58" s="6"/>
      <x:c r="F58" s="6"/>
      <x:c r="G58" s="6"/>
      <x:c r="H58" s="6"/>
    </x:row>
    <x:row r="59">
      <x:c r="A59" s="7"/>
      <x:c r="B59" s="7"/>
      <x:c r="C59" s="6"/>
      <x:c r="D59" s="6"/>
      <x:c r="E59" s="6"/>
      <x:c r="F59" s="6"/>
      <x:c r="G59" s="6"/>
      <x:c r="H59" s="6"/>
    </x:row>
    <x:row r="60">
      <x:c r="A60" s="7"/>
      <x:c r="B60" s="7"/>
      <x:c r="C60" s="6"/>
      <x:c r="D60" s="6"/>
      <x:c r="E60" s="6"/>
      <x:c r="F60" s="6"/>
      <x:c r="G60" s="6"/>
      <x:c r="H60" s="6"/>
    </x:row>
    <x:row r="61">
      <x:c r="A61" s="7"/>
      <x:c r="B61" s="7"/>
      <x:c r="C61" s="6"/>
      <x:c r="D61" s="6"/>
      <x:c r="E61" s="6"/>
      <x:c r="F61" s="6"/>
      <x:c r="G61" s="6"/>
      <x:c r="H61" s="6"/>
    </x:row>
    <x:row r="62">
      <x:c r="A62" s="7"/>
      <x:c r="B62" s="7"/>
      <x:c r="C62" s="6"/>
      <x:c r="D62" s="6"/>
      <x:c r="E62" s="6"/>
      <x:c r="F62" s="6"/>
      <x:c r="G62" s="6"/>
      <x:c r="H62" s="6"/>
    </x:row>
    <x:row r="63">
      <x:c r="A63" s="7"/>
      <x:c r="B63" s="7"/>
      <x:c r="C63" s="6"/>
      <x:c r="D63" s="6"/>
      <x:c r="E63" s="6"/>
      <x:c r="F63" s="6"/>
      <x:c r="G63" s="6"/>
      <x:c r="H63" s="6"/>
    </x:row>
    <x:row r="64">
      <x:c r="A64" s="7"/>
      <x:c r="B64" s="7"/>
      <x:c r="C64" s="6"/>
      <x:c r="D64" s="6"/>
      <x:c r="E64" s="6"/>
      <x:c r="F64" s="6"/>
      <x:c r="G64" s="6"/>
      <x:c r="H64" s="6"/>
    </x:row>
    <x:row r="65">
      <x:c r="A65" s="7"/>
      <x:c r="B65" s="7"/>
      <x:c r="C65" s="6"/>
      <x:c r="D65" s="6"/>
      <x:c r="E65" s="6"/>
      <x:c r="F65" s="6"/>
      <x:c r="G65" s="6"/>
      <x:c r="H65" s="6"/>
    </x:row>
    <x:row r="66">
      <x:c r="A66" s="7"/>
      <x:c r="B66" s="7"/>
      <x:c r="C66" s="6"/>
      <x:c r="D66" s="6"/>
      <x:c r="E66" s="6"/>
      <x:c r="F66" s="6"/>
      <x:c r="G66" s="6"/>
      <x:c r="H66" s="6"/>
    </x:row>
    <x:row r="67">
      <x:c r="A67" s="7"/>
      <x:c r="B67" s="7"/>
      <x:c r="C67" s="6"/>
      <x:c r="D67" s="6"/>
      <x:c r="E67" s="6"/>
      <x:c r="F67" s="6"/>
      <x:c r="G67" s="6"/>
      <x:c r="H67" s="6"/>
    </x:row>
    <x:row r="68">
      <x:c r="A68" s="7"/>
      <x:c r="B68" s="7"/>
      <x:c r="C68" s="6"/>
      <x:c r="D68" s="6"/>
      <x:c r="E68" s="6"/>
      <x:c r="F68" s="6"/>
      <x:c r="G68" s="6"/>
      <x:c r="H68" s="6"/>
    </x:row>
    <x:row r="69">
      <x:c r="A69" s="7"/>
      <x:c r="B69" s="7"/>
      <x:c r="C69" s="6"/>
      <x:c r="D69" s="6"/>
      <x:c r="E69" s="6"/>
      <x:c r="F69" s="6"/>
      <x:c r="G69" s="6"/>
      <x:c r="H69" s="6"/>
    </x:row>
    <x:row r="70">
      <x:c r="A70" s="7"/>
      <x:c r="B70" s="7"/>
      <x:c r="C70" s="6"/>
      <x:c r="D70" s="6"/>
      <x:c r="E70" s="6"/>
      <x:c r="F70" s="6"/>
      <x:c r="G70" s="6"/>
      <x:c r="H70" s="6"/>
    </x:row>
    <x:row r="71">
      <x:c r="A71" s="7"/>
      <x:c r="B71" s="7"/>
      <x:c r="C71" s="6"/>
      <x:c r="D71" s="6"/>
      <x:c r="E71" s="6"/>
      <x:c r="F71" s="6"/>
      <x:c r="G71" s="6"/>
      <x:c r="H71" s="6"/>
    </x:row>
    <x:row r="72">
      <x:c r="A72" s="7"/>
      <x:c r="B72" s="7"/>
      <x:c r="C72" s="6"/>
      <x:c r="D72" s="6"/>
      <x:c r="E72" s="6"/>
      <x:c r="F72" s="6"/>
      <x:c r="G72" s="6"/>
      <x:c r="H72" s="6"/>
    </x:row>
    <x:row r="73">
      <x:c r="A73" s="7"/>
      <x:c r="B73" s="7"/>
      <x:c r="C73" s="6"/>
      <x:c r="D73" s="6"/>
      <x:c r="E73" s="6"/>
      <x:c r="F73" s="6"/>
      <x:c r="G73" s="6"/>
      <x:c r="H73" s="6"/>
    </x:row>
    <x:row r="74">
      <x:c r="A74" s="7"/>
      <x:c r="B74" s="7"/>
      <x:c r="C74" s="6"/>
      <x:c r="D74" s="6"/>
      <x:c r="E74" s="6"/>
      <x:c r="F74" s="6"/>
      <x:c r="G74" s="6"/>
      <x:c r="H74" s="6"/>
    </x:row>
    <x:row r="75">
      <x:c r="A75" s="7"/>
      <x:c r="B75" s="7"/>
      <x:c r="C75" s="6"/>
      <x:c r="D75" s="6"/>
      <x:c r="E75" s="6"/>
      <x:c r="F75" s="6"/>
      <x:c r="G75" s="6"/>
      <x:c r="H75" s="6"/>
    </x:row>
    <x:row r="76">
      <x:c r="A76" s="7"/>
      <x:c r="B76" s="7"/>
      <x:c r="C76" s="6"/>
      <x:c r="D76" s="6"/>
      <x:c r="E76" s="6"/>
      <x:c r="F76" s="6"/>
      <x:c r="G76" s="6"/>
      <x:c r="H76" s="6"/>
    </x:row>
    <x:row r="77">
      <x:c r="A77" s="7"/>
      <x:c r="B77" s="7"/>
      <x:c r="C77" s="6"/>
      <x:c r="D77" s="6"/>
      <x:c r="E77" s="6"/>
      <x:c r="F77" s="6"/>
      <x:c r="G77" s="6"/>
      <x:c r="H77" s="6"/>
    </x:row>
    <x:row r="78">
      <x:c r="A78" s="7"/>
      <x:c r="B78" s="7"/>
      <x:c r="C78" s="6"/>
      <x:c r="D78" s="6"/>
      <x:c r="E78" s="6"/>
      <x:c r="F78" s="6"/>
      <x:c r="G78" s="6"/>
      <x:c r="H78" s="6"/>
    </x:row>
    <x:row r="79">
      <x:c r="A79" s="7"/>
      <x:c r="B79" s="7"/>
      <x:c r="C79" s="6"/>
      <x:c r="D79" s="6"/>
      <x:c r="E79" s="6"/>
      <x:c r="F79" s="6"/>
      <x:c r="G79" s="6"/>
      <x:c r="H79" s="6"/>
    </x:row>
    <x:row r="80">
      <x:c r="A80" s="7"/>
      <x:c r="B80" s="7"/>
      <x:c r="C80" s="6"/>
      <x:c r="D80" s="6"/>
      <x:c r="E80" s="6"/>
      <x:c r="F80" s="6"/>
      <x:c r="G80" s="6"/>
      <x:c r="H80" s="6"/>
    </x:row>
    <x:row r="81">
      <x:c r="A81" s="7"/>
      <x:c r="B81" s="7"/>
      <x:c r="C81" s="6"/>
      <x:c r="D81" s="6"/>
      <x:c r="E81" s="6"/>
      <x:c r="F81" s="6"/>
      <x:c r="G81" s="6"/>
      <x:c r="H81" s="6"/>
    </x:row>
    <x:row r="82">
      <x:c r="A82" s="7"/>
      <x:c r="B82" s="7"/>
      <x:c r="C82" s="6"/>
      <x:c r="D82" s="6"/>
      <x:c r="E82" s="6"/>
      <x:c r="F82" s="6"/>
      <x:c r="G82" s="6"/>
      <x:c r="H82" s="6"/>
    </x:row>
    <x:row r="83">
      <x:c r="A83" s="7"/>
      <x:c r="B83" s="7"/>
      <x:c r="C83" s="6"/>
      <x:c r="D83" s="6"/>
      <x:c r="E83" s="6"/>
      <x:c r="F83" s="6"/>
      <x:c r="G83" s="6"/>
      <x:c r="H83" s="6"/>
    </x:row>
    <x:row r="84">
      <x:c r="A84" s="7"/>
      <x:c r="B84" s="7"/>
      <x:c r="C84" s="6"/>
      <x:c r="D84" s="6"/>
      <x:c r="E84" s="6"/>
      <x:c r="F84" s="6"/>
      <x:c r="G84" s="6"/>
      <x:c r="H84" s="6"/>
    </x:row>
    <x:row r="85">
      <x:c r="A85" s="7"/>
      <x:c r="B85" s="7"/>
      <x:c r="C85" s="6"/>
      <x:c r="D85" s="6"/>
      <x:c r="E85" s="6"/>
      <x:c r="F85" s="6"/>
      <x:c r="G85" s="6"/>
      <x:c r="H85" s="6"/>
    </x:row>
    <x:row r="86">
      <x:c r="A86" s="7"/>
      <x:c r="B86" s="7"/>
      <x:c r="C86" s="6"/>
      <x:c r="D86" s="6"/>
      <x:c r="E86" s="6"/>
      <x:c r="F86" s="6"/>
      <x:c r="G86" s="6"/>
      <x:c r="H86" s="6"/>
    </x:row>
    <x:row r="87">
      <x:c r="A87" s="7"/>
      <x:c r="B87" s="7"/>
      <x:c r="C87" s="6"/>
      <x:c r="D87" s="6"/>
      <x:c r="E87" s="6"/>
      <x:c r="F87" s="6"/>
      <x:c r="G87" s="6"/>
      <x:c r="H87" s="6"/>
    </x:row>
    <x:row r="88">
      <x:c r="A88" s="7"/>
      <x:c r="B88" s="7"/>
      <x:c r="C88" s="6"/>
      <x:c r="D88" s="6"/>
      <x:c r="E88" s="6"/>
      <x:c r="F88" s="6"/>
      <x:c r="G88" s="6"/>
      <x:c r="H88" s="6"/>
    </x:row>
    <x:row r="89">
      <x:c r="A89" s="7"/>
      <x:c r="B89" s="7"/>
      <x:c r="C89" s="6"/>
      <x:c r="D89" s="6"/>
      <x:c r="E89" s="6"/>
      <x:c r="F89" s="6"/>
      <x:c r="G89" s="6"/>
      <x:c r="H89" s="6"/>
    </x:row>
    <x:row r="90">
      <x:c r="A90" s="7"/>
      <x:c r="B90" s="7"/>
      <x:c r="C90" s="6"/>
      <x:c r="D90" s="6"/>
      <x:c r="E90" s="6"/>
      <x:c r="F90" s="6"/>
      <x:c r="G90" s="6"/>
      <x:c r="H90" s="6"/>
    </x:row>
    <x:row r="91">
      <x:c r="A91" s="7"/>
      <x:c r="B91" s="7"/>
      <x:c r="C91" s="6"/>
      <x:c r="D91" s="6"/>
      <x:c r="E91" s="6"/>
      <x:c r="F91" s="6"/>
      <x:c r="G91" s="6"/>
      <x:c r="H91" s="6"/>
    </x:row>
    <x:row r="92">
      <x:c r="A92" s="7"/>
      <x:c r="B92" s="7"/>
      <x:c r="C92" s="6"/>
      <x:c r="D92" s="6"/>
      <x:c r="E92" s="6"/>
      <x:c r="F92" s="6"/>
      <x:c r="G92" s="6"/>
      <x:c r="H92" s="6"/>
    </x:row>
    <x:row r="93">
      <x:c r="A93" s="7"/>
      <x:c r="B93" s="7"/>
      <x:c r="C93" s="6"/>
      <x:c r="D93" s="6"/>
      <x:c r="E93" s="6"/>
      <x:c r="F93" s="6"/>
      <x:c r="G93" s="6"/>
      <x:c r="H93" s="6"/>
    </x:row>
    <x:row r="94">
      <x:c r="A94" s="7"/>
      <x:c r="B94" s="7"/>
      <x:c r="C94" s="6"/>
      <x:c r="D94" s="6"/>
      <x:c r="E94" s="6"/>
      <x:c r="F94" s="6"/>
      <x:c r="G94" s="6"/>
      <x:c r="H94" s="6"/>
    </x:row>
    <x:row r="95">
      <x:c r="A95" s="7"/>
      <x:c r="B95" s="7"/>
      <x:c r="C95" s="6"/>
      <x:c r="D95" s="6"/>
      <x:c r="E95" s="6"/>
      <x:c r="F95" s="6"/>
      <x:c r="G95" s="6"/>
      <x:c r="H95" s="6"/>
    </x:row>
    <x:row r="96">
      <x:c r="A96" s="7"/>
      <x:c r="B96" s="7"/>
      <x:c r="C96" s="6"/>
      <x:c r="D96" s="6"/>
      <x:c r="E96" s="6"/>
      <x:c r="F96" s="6"/>
      <x:c r="G96" s="6"/>
      <x:c r="H96" s="6"/>
    </x:row>
    <x:row r="97">
      <x:c r="A97" s="7"/>
      <x:c r="B97" s="7"/>
      <x:c r="C97" s="6"/>
      <x:c r="D97" s="6"/>
      <x:c r="E97" s="6"/>
      <x:c r="F97" s="6"/>
      <x:c r="G97" s="6"/>
      <x:c r="H97" s="6"/>
    </x:row>
    <x:row r="98">
      <x:c r="A98" s="7"/>
      <x:c r="B98" s="7"/>
      <x:c r="C98" s="6"/>
      <x:c r="D98" s="6"/>
      <x:c r="E98" s="6"/>
      <x:c r="F98" s="6"/>
      <x:c r="G98" s="6"/>
      <x:c r="H98" s="6"/>
    </x:row>
    <x:row r="99">
      <x:c r="A99" s="7"/>
      <x:c r="B99" s="7"/>
      <x:c r="C99" s="6"/>
      <x:c r="D99" s="6"/>
      <x:c r="E99" s="6"/>
      <x:c r="F99" s="6"/>
      <x:c r="G99" s="6"/>
      <x:c r="H99" s="6"/>
    </x:row>
    <x:row r="100">
      <x:c r="A100" s="7"/>
      <x:c r="B100" s="7"/>
      <x:c r="C100" s="6"/>
      <x:c r="D100" s="6"/>
      <x:c r="E100" s="6"/>
      <x:c r="F100" s="6"/>
      <x:c r="G100" s="6"/>
      <x:c r="H100" s="6"/>
    </x:row>
    <x:row r="101">
      <x:c r="A101" s="7"/>
      <x:c r="B101" s="7"/>
      <x:c r="C101" s="6"/>
      <x:c r="D101" s="6"/>
      <x:c r="E101" s="6"/>
      <x:c r="F101" s="6"/>
      <x:c r="G101" s="6"/>
      <x:c r="H101" s="6"/>
    </x:row>
    <x:row r="102">
      <x:c r="A102" s="7"/>
      <x:c r="B102" s="7"/>
      <x:c r="C102" s="6"/>
      <x:c r="D102" s="6"/>
      <x:c r="E102" s="6"/>
      <x:c r="F102" s="6"/>
      <x:c r="G102" s="6"/>
      <x:c r="H102" s="6"/>
    </x:row>
    <x:row r="103">
      <x:c r="A103" s="7"/>
      <x:c r="B103" s="7"/>
      <x:c r="C103" s="6"/>
      <x:c r="D103" s="6"/>
      <x:c r="E103" s="6"/>
      <x:c r="F103" s="6"/>
      <x:c r="G103" s="6"/>
      <x:c r="H103" s="6"/>
    </x:row>
    <x:row r="104">
      <x:c r="A104" s="7"/>
      <x:c r="B104" s="7"/>
      <x:c r="C104" s="6"/>
      <x:c r="D104" s="6"/>
      <x:c r="E104" s="6"/>
      <x:c r="F104" s="6"/>
      <x:c r="G104" s="6"/>
      <x:c r="H104" s="6"/>
    </x:row>
    <x:row r="105">
      <x:c r="A105" s="7"/>
      <x:c r="B105" s="7"/>
      <x:c r="C105" s="6"/>
      <x:c r="D105" s="6"/>
      <x:c r="E105" s="6"/>
      <x:c r="F105" s="6"/>
      <x:c r="G105" s="6"/>
      <x:c r="H105" s="6"/>
    </x:row>
    <x:row r="106">
      <x:c r="A106" s="7"/>
      <x:c r="B106" s="7"/>
      <x:c r="C106" s="6"/>
      <x:c r="D106" s="6"/>
      <x:c r="E106" s="6"/>
      <x:c r="F106" s="6"/>
      <x:c r="G106" s="6"/>
      <x:c r="H106" s="6"/>
    </x:row>
    <x:row r="107">
      <x:c r="A107" s="7"/>
      <x:c r="B107" s="7"/>
      <x:c r="C107" s="6"/>
      <x:c r="D107" s="6"/>
      <x:c r="E107" s="6"/>
      <x:c r="F107" s="6"/>
      <x:c r="G107" s="6"/>
      <x:c r="H107" s="6"/>
    </x:row>
    <x:row r="108">
      <x:c r="A108" s="7"/>
      <x:c r="B108" s="7"/>
      <x:c r="C108" s="6"/>
      <x:c r="D108" s="6"/>
      <x:c r="E108" s="6"/>
      <x:c r="F108" s="6"/>
      <x:c r="G108" s="6"/>
      <x:c r="H108" s="6"/>
    </x:row>
    <x:row r="109">
      <x:c r="A109" s="7"/>
      <x:c r="B109" s="7"/>
      <x:c r="C109" s="6"/>
      <x:c r="D109" s="6"/>
      <x:c r="E109" s="6"/>
      <x:c r="F109" s="6"/>
      <x:c r="G109" s="6"/>
      <x:c r="H109" s="6"/>
    </x:row>
    <x:row r="110">
      <x:c r="A110" s="7"/>
      <x:c r="B110" s="7"/>
      <x:c r="C110" s="6"/>
      <x:c r="D110" s="6"/>
      <x:c r="E110" s="6"/>
      <x:c r="F110" s="6"/>
      <x:c r="G110" s="6"/>
      <x:c r="H110" s="6"/>
    </x:row>
    <x:row r="111">
      <x:c r="A111" s="7"/>
      <x:c r="B111" s="7"/>
      <x:c r="C111" s="6"/>
      <x:c r="D111" s="6"/>
      <x:c r="E111" s="6"/>
      <x:c r="F111" s="6"/>
      <x:c r="G111" s="6"/>
      <x:c r="H111" s="6"/>
    </x:row>
    <x:row r="112">
      <x:c r="A112" s="7"/>
      <x:c r="B112" s="7"/>
      <x:c r="C112" s="6"/>
      <x:c r="D112" s="6"/>
      <x:c r="E112" s="6"/>
      <x:c r="F112" s="6"/>
      <x:c r="G112" s="6"/>
      <x:c r="H112" s="6"/>
    </x:row>
    <x:row r="113">
      <x:c r="A113" s="7"/>
      <x:c r="B113" s="7"/>
      <x:c r="C113" s="6"/>
      <x:c r="D113" s="6"/>
      <x:c r="E113" s="6"/>
      <x:c r="F113" s="6"/>
      <x:c r="G113" s="6"/>
      <x:c r="H113" s="6"/>
    </x:row>
    <x:row r="114">
      <x:c r="A114" s="7"/>
      <x:c r="B114" s="7"/>
      <x:c r="C114" s="6"/>
      <x:c r="D114" s="6"/>
      <x:c r="E114" s="6"/>
      <x:c r="F114" s="6"/>
      <x:c r="G114" s="6"/>
      <x:c r="H114" s="6"/>
    </x:row>
    <x:row r="115">
      <x:c r="A115" s="7"/>
      <x:c r="B115" s="7"/>
      <x:c r="C115" s="6"/>
      <x:c r="D115" s="6"/>
      <x:c r="E115" s="6"/>
      <x:c r="F115" s="6"/>
      <x:c r="G115" s="6"/>
      <x:c r="H115" s="6"/>
    </x:row>
    <x:row r="116">
      <x:c r="A116" s="7"/>
      <x:c r="B116" s="7"/>
      <x:c r="C116" s="6"/>
      <x:c r="D116" s="6"/>
      <x:c r="E116" s="6"/>
      <x:c r="F116" s="6"/>
      <x:c r="G116" s="6"/>
      <x:c r="H116" s="6"/>
    </x:row>
    <x:row r="117">
      <x:c r="A117" s="7"/>
      <x:c r="B117" s="7"/>
      <x:c r="C117" s="6"/>
      <x:c r="D117" s="6"/>
      <x:c r="E117" s="6"/>
      <x:c r="F117" s="6"/>
      <x:c r="G117" s="6"/>
      <x:c r="H117" s="6"/>
    </x:row>
    <x:row r="118">
      <x:c r="A118" s="7"/>
      <x:c r="B118" s="7"/>
      <x:c r="C118" s="6"/>
      <x:c r="D118" s="6"/>
      <x:c r="E118" s="6"/>
      <x:c r="F118" s="6"/>
      <x:c r="G118" s="6"/>
      <x:c r="H118" s="6"/>
    </x:row>
    <x:row r="119">
      <x:c r="A119" s="7"/>
      <x:c r="B119" s="7"/>
      <x:c r="C119" s="6"/>
      <x:c r="D119" s="6"/>
      <x:c r="E119" s="6"/>
      <x:c r="F119" s="6"/>
      <x:c r="G119" s="6"/>
      <x:c r="H119" s="6"/>
    </x:row>
    <x:row r="120">
      <x:c r="A120" s="7"/>
      <x:c r="B120" s="7"/>
      <x:c r="C120" s="6"/>
      <x:c r="D120" s="6"/>
      <x:c r="E120" s="6"/>
      <x:c r="F120" s="6"/>
      <x:c r="G120" s="6"/>
      <x:c r="H120" s="6"/>
    </x:row>
    <x:row r="121">
      <x:c r="A121" s="7"/>
      <x:c r="B121" s="7"/>
      <x:c r="C121" s="6"/>
      <x:c r="D121" s="6"/>
      <x:c r="E121" s="6"/>
      <x:c r="F121" s="6"/>
      <x:c r="G121" s="6"/>
      <x:c r="H121" s="6"/>
    </x:row>
    <x:row r="122">
      <x:c r="A122" s="7"/>
      <x:c r="B122" s="7"/>
      <x:c r="C122" s="6"/>
      <x:c r="D122" s="6"/>
      <x:c r="E122" s="6"/>
      <x:c r="F122" s="6"/>
      <x:c r="G122" s="6"/>
      <x:c r="H122" s="6"/>
    </x:row>
    <x:row r="123">
      <x:c r="A123" s="7"/>
      <x:c r="B123" s="7"/>
      <x:c r="C123" s="6"/>
      <x:c r="D123" s="6"/>
      <x:c r="E123" s="6"/>
      <x:c r="F123" s="6"/>
      <x:c r="G123" s="6"/>
      <x:c r="H123" s="6"/>
    </x:row>
    <x:row r="124">
      <x:c r="A124" s="7"/>
      <x:c r="B124" s="7"/>
      <x:c r="C124" s="6"/>
      <x:c r="D124" s="6"/>
      <x:c r="E124" s="6"/>
      <x:c r="F124" s="6"/>
      <x:c r="G124" s="6"/>
      <x:c r="H124" s="6"/>
    </x:row>
    <x:row r="125">
      <x:c r="A125" s="7"/>
      <x:c r="B125" s="7"/>
      <x:c r="C125" s="6"/>
      <x:c r="D125" s="6"/>
      <x:c r="E125" s="6"/>
      <x:c r="F125" s="6"/>
      <x:c r="G125" s="6"/>
      <x:c r="H125" s="6"/>
    </x:row>
    <x:row r="126">
      <x:c r="A126" s="7"/>
      <x:c r="B126" s="7"/>
      <x:c r="C126" s="6"/>
      <x:c r="D126" s="6"/>
      <x:c r="E126" s="6"/>
      <x:c r="F126" s="6"/>
      <x:c r="G126" s="6"/>
      <x:c r="H126" s="6"/>
    </x:row>
    <x:row r="127">
      <x:c r="A127" s="7"/>
      <x:c r="B127" s="7"/>
      <x:c r="C127" s="6"/>
      <x:c r="D127" s="6"/>
      <x:c r="E127" s="6"/>
      <x:c r="F127" s="6"/>
      <x:c r="G127" s="6"/>
      <x:c r="H127" s="6"/>
    </x:row>
    <x:row r="128">
      <x:c r="A128" s="7"/>
      <x:c r="B128" s="7"/>
      <x:c r="C128" s="6"/>
      <x:c r="D128" s="6"/>
      <x:c r="E128" s="6"/>
      <x:c r="F128" s="6"/>
      <x:c r="G128" s="6"/>
      <x:c r="H128" s="6"/>
    </x:row>
    <x:row r="129">
      <x:c r="A129" s="7"/>
      <x:c r="B129" s="7"/>
      <x:c r="C129" s="6"/>
      <x:c r="D129" s="6"/>
      <x:c r="E129" s="6"/>
      <x:c r="F129" s="6"/>
      <x:c r="G129" s="6"/>
      <x:c r="H129" s="6"/>
    </x:row>
    <x:row r="130">
      <x:c r="A130" s="7"/>
      <x:c r="B130" s="7"/>
      <x:c r="C130" s="6"/>
      <x:c r="D130" s="6"/>
      <x:c r="E130" s="6"/>
      <x:c r="F130" s="6"/>
      <x:c r="G130" s="6"/>
      <x:c r="H130" s="6"/>
    </x:row>
    <x:row r="131">
      <x:c r="A131" s="7"/>
      <x:c r="B131" s="7"/>
      <x:c r="C131" s="6"/>
      <x:c r="D131" s="6"/>
      <x:c r="E131" s="6"/>
      <x:c r="F131" s="6"/>
      <x:c r="G131" s="6"/>
      <x:c r="H131" s="6"/>
    </x:row>
    <x:row r="132">
      <x:c r="A132" s="7"/>
      <x:c r="B132" s="7"/>
      <x:c r="C132" s="6"/>
      <x:c r="D132" s="6"/>
      <x:c r="E132" s="6"/>
      <x:c r="F132" s="6"/>
      <x:c r="G132" s="6"/>
      <x:c r="H132" s="6"/>
    </x:row>
    <x:row r="133">
      <x:c r="A133" s="7"/>
      <x:c r="B133" s="7"/>
      <x:c r="C133" s="6"/>
      <x:c r="D133" s="6"/>
      <x:c r="E133" s="6"/>
      <x:c r="F133" s="6"/>
      <x:c r="G133" s="6"/>
      <x:c r="H133" s="6"/>
    </x:row>
    <x:row r="134">
      <x:c r="A134" s="7"/>
      <x:c r="B134" s="7"/>
      <x:c r="C134" s="6"/>
      <x:c r="D134" s="6"/>
      <x:c r="E134" s="6"/>
      <x:c r="F134" s="6"/>
      <x:c r="G134" s="6"/>
      <x:c r="H134" s="6"/>
    </x:row>
    <x:row r="135">
      <x:c r="A135" s="7"/>
      <x:c r="B135" s="7"/>
      <x:c r="C135" s="6"/>
      <x:c r="D135" s="6"/>
      <x:c r="E135" s="6"/>
      <x:c r="F135" s="6"/>
      <x:c r="G135" s="6"/>
      <x:c r="H135" s="6"/>
    </x:row>
    <x:row r="136">
      <x:c r="A136" s="7"/>
      <x:c r="B136" s="7"/>
      <x:c r="C136" s="6"/>
      <x:c r="D136" s="6"/>
      <x:c r="E136" s="6"/>
      <x:c r="F136" s="6"/>
      <x:c r="G136" s="6"/>
      <x:c r="H136" s="6"/>
    </x:row>
    <x:row r="137">
      <x:c r="A137" s="7"/>
      <x:c r="B137" s="7"/>
      <x:c r="C137" s="6"/>
      <x:c r="D137" s="6"/>
      <x:c r="E137" s="6"/>
      <x:c r="F137" s="6"/>
      <x:c r="G137" s="6"/>
      <x:c r="H137" s="6"/>
    </x:row>
    <x:row r="138">
      <x:c r="A138" s="7"/>
      <x:c r="B138" s="7"/>
      <x:c r="C138" s="6"/>
      <x:c r="D138" s="6"/>
      <x:c r="E138" s="6"/>
      <x:c r="F138" s="6"/>
      <x:c r="G138" s="6"/>
      <x:c r="H138" s="6"/>
    </x:row>
    <x:row r="139">
      <x:c r="A139" s="7"/>
      <x:c r="B139" s="7"/>
      <x:c r="C139" s="6"/>
      <x:c r="D139" s="6"/>
      <x:c r="E139" s="6"/>
      <x:c r="F139" s="6"/>
      <x:c r="G139" s="6"/>
      <x:c r="H139" s="6"/>
    </x:row>
    <x:row r="140">
      <x:c r="A140" s="7"/>
      <x:c r="B140" s="7"/>
      <x:c r="C140" s="6"/>
      <x:c r="D140" s="6"/>
      <x:c r="E140" s="6"/>
      <x:c r="F140" s="6"/>
      <x:c r="G140" s="6"/>
      <x:c r="H140" s="6"/>
    </x:row>
    <x:row r="141">
      <x:c r="A141" s="7"/>
      <x:c r="B141" s="7"/>
      <x:c r="C141" s="6"/>
      <x:c r="D141" s="6"/>
      <x:c r="E141" s="6"/>
      <x:c r="F141" s="6"/>
      <x:c r="G141" s="6"/>
      <x:c r="H141" s="6"/>
    </x:row>
    <x:row r="142">
      <x:c r="A142" s="7"/>
      <x:c r="B142" s="7"/>
      <x:c r="C142" s="6"/>
      <x:c r="D142" s="6"/>
      <x:c r="E142" s="6"/>
      <x:c r="F142" s="6"/>
      <x:c r="G142" s="6"/>
      <x:c r="H142" s="6"/>
    </x:row>
    <x:row r="143">
      <x:c r="A143" s="7"/>
      <x:c r="B143" s="7"/>
      <x:c r="C143" s="6"/>
      <x:c r="D143" s="6"/>
      <x:c r="E143" s="6"/>
      <x:c r="F143" s="6"/>
      <x:c r="G143" s="6"/>
      <x:c r="H143" s="6"/>
    </x:row>
    <x:row r="144">
      <x:c r="A144" s="7"/>
      <x:c r="B144" s="7"/>
      <x:c r="C144" s="6"/>
      <x:c r="D144" s="6"/>
      <x:c r="E144" s="6"/>
      <x:c r="F144" s="6"/>
      <x:c r="G144" s="6"/>
      <x:c r="H144" s="6"/>
    </x:row>
    <x:row r="145">
      <x:c r="A145" s="7"/>
      <x:c r="B145" s="7"/>
      <x:c r="C145" s="6"/>
      <x:c r="D145" s="6"/>
      <x:c r="E145" s="6"/>
      <x:c r="F145" s="6"/>
      <x:c r="G145" s="6"/>
      <x:c r="H145" s="6"/>
    </x:row>
    <x:row r="146">
      <x:c r="A146" s="7"/>
      <x:c r="B146" s="7"/>
      <x:c r="C146" s="6"/>
      <x:c r="D146" s="6"/>
      <x:c r="E146" s="6"/>
      <x:c r="F146" s="6"/>
      <x:c r="G146" s="6"/>
      <x:c r="H146" s="6"/>
    </x:row>
    <x:row r="147">
      <x:c r="A147" s="7"/>
      <x:c r="B147" s="7"/>
      <x:c r="C147" s="6"/>
      <x:c r="D147" s="6"/>
      <x:c r="E147" s="6"/>
      <x:c r="F147" s="6"/>
      <x:c r="G147" s="6"/>
      <x:c r="H147" s="6"/>
    </x:row>
    <x:row r="148">
      <x:c r="A148" s="7"/>
      <x:c r="B148" s="7"/>
      <x:c r="C148" s="6"/>
      <x:c r="D148" s="6"/>
      <x:c r="E148" s="6"/>
      <x:c r="F148" s="6"/>
      <x:c r="G148" s="6"/>
      <x:c r="H148" s="6"/>
    </x:row>
    <x:row r="149">
      <x:c r="A149" s="7"/>
      <x:c r="B149" s="7"/>
      <x:c r="C149" s="6"/>
      <x:c r="D149" s="6"/>
      <x:c r="E149" s="6"/>
      <x:c r="F149" s="6"/>
      <x:c r="G149" s="6"/>
      <x:c r="H149" s="6"/>
    </x:row>
    <x:row r="150">
      <x:c r="A150" s="7"/>
      <x:c r="B150" s="7"/>
      <x:c r="C150" s="6"/>
      <x:c r="D150" s="6"/>
      <x:c r="E150" s="6"/>
      <x:c r="F150" s="6"/>
      <x:c r="G150" s="6"/>
      <x:c r="H150" s="6"/>
    </x:row>
    <x:row r="151">
      <x:c r="A151" s="7"/>
      <x:c r="B151" s="7"/>
      <x:c r="C151" s="6"/>
      <x:c r="D151" s="6"/>
      <x:c r="E151" s="6"/>
      <x:c r="F151" s="6"/>
      <x:c r="G151" s="6"/>
      <x:c r="H151" s="6"/>
    </x:row>
    <x:row r="152">
      <x:c r="A152" s="7"/>
      <x:c r="B152" s="7"/>
      <x:c r="C152" s="6"/>
      <x:c r="D152" s="6"/>
      <x:c r="E152" s="6"/>
      <x:c r="F152" s="6"/>
      <x:c r="G152" s="6"/>
      <x:c r="H152" s="6"/>
    </x:row>
    <x:row r="153">
      <x:c r="A153" s="7"/>
      <x:c r="B153" s="7"/>
      <x:c r="C153" s="6"/>
      <x:c r="D153" s="6"/>
      <x:c r="E153" s="6"/>
      <x:c r="F153" s="6"/>
      <x:c r="G153" s="6"/>
      <x:c r="H153" s="6"/>
    </x:row>
    <x:row r="154">
      <x:c r="A154" s="7"/>
      <x:c r="B154" s="7"/>
      <x:c r="C154" s="6"/>
      <x:c r="D154" s="6"/>
      <x:c r="E154" s="6"/>
      <x:c r="F154" s="6"/>
      <x:c r="G154" s="6"/>
      <x:c r="H154" s="6"/>
    </x:row>
    <x:row r="155">
      <x:c r="A155" s="7"/>
      <x:c r="B155" s="7"/>
      <x:c r="C155" s="6"/>
      <x:c r="D155" s="6"/>
      <x:c r="E155" s="6"/>
      <x:c r="F155" s="6"/>
      <x:c r="G155" s="6"/>
      <x:c r="H155" s="6"/>
    </x:row>
    <x:row r="156">
      <x:c r="A156" s="7"/>
      <x:c r="B156" s="7"/>
      <x:c r="C156" s="6"/>
      <x:c r="D156" s="6"/>
      <x:c r="E156" s="6"/>
      <x:c r="F156" s="6"/>
      <x:c r="G156" s="6"/>
      <x:c r="H156" s="6"/>
    </x:row>
    <x:row r="157">
      <x:c r="A157" s="7"/>
      <x:c r="B157" s="7"/>
      <x:c r="C157" s="6"/>
      <x:c r="D157" s="6"/>
      <x:c r="E157" s="6"/>
      <x:c r="F157" s="6"/>
      <x:c r="G157" s="6"/>
      <x:c r="H157" s="6"/>
    </x:row>
    <x:row r="158">
      <x:c r="A158" s="7"/>
      <x:c r="B158" s="7"/>
      <x:c r="C158" s="6"/>
      <x:c r="D158" s="6"/>
      <x:c r="E158" s="6"/>
      <x:c r="F158" s="6"/>
      <x:c r="G158" s="6"/>
      <x:c r="H158" s="6"/>
    </x:row>
    <x:row r="159">
      <x:c r="A159" s="7"/>
      <x:c r="B159" s="7"/>
      <x:c r="C159" s="6"/>
      <x:c r="D159" s="6"/>
      <x:c r="E159" s="6"/>
      <x:c r="F159" s="6"/>
      <x:c r="G159" s="6"/>
      <x:c r="H159" s="6"/>
    </x:row>
    <x:row r="160">
      <x:c r="A160" s="7"/>
      <x:c r="B160" s="7"/>
      <x:c r="C160" s="6"/>
      <x:c r="D160" s="6"/>
      <x:c r="E160" s="6"/>
      <x:c r="F160" s="6"/>
      <x:c r="G160" s="6"/>
      <x:c r="H160" s="6"/>
    </x:row>
    <x:row r="161">
      <x:c r="A161" s="7"/>
      <x:c r="B161" s="7"/>
      <x:c r="C161" s="6"/>
      <x:c r="D161" s="6"/>
      <x:c r="E161" s="6"/>
      <x:c r="F161" s="6"/>
      <x:c r="G161" s="6"/>
      <x:c r="H161" s="6"/>
    </x:row>
    <x:row r="162">
      <x:c r="A162" s="7"/>
      <x:c r="B162" s="7"/>
      <x:c r="C162" s="6"/>
      <x:c r="D162" s="6"/>
      <x:c r="E162" s="6"/>
      <x:c r="F162" s="6"/>
      <x:c r="G162" s="6"/>
      <x:c r="H162" s="6"/>
    </x:row>
    <x:row r="163">
      <x:c r="A163" s="7"/>
      <x:c r="B163" s="7"/>
      <x:c r="C163" s="6"/>
      <x:c r="D163" s="6"/>
      <x:c r="E163" s="6"/>
      <x:c r="F163" s="6"/>
      <x:c r="G163" s="6"/>
      <x:c r="H163" s="6"/>
    </x:row>
    <x:row r="164">
      <x:c r="A164" s="7"/>
      <x:c r="B164" s="7"/>
      <x:c r="C164" s="6"/>
      <x:c r="D164" s="6"/>
      <x:c r="E164" s="6"/>
      <x:c r="F164" s="6"/>
      <x:c r="G164" s="6"/>
      <x:c r="H164" s="6"/>
    </x:row>
    <x:row r="165">
      <x:c r="A165" s="7"/>
      <x:c r="B165" s="7"/>
      <x:c r="C165" s="6"/>
      <x:c r="D165" s="6"/>
      <x:c r="E165" s="6"/>
      <x:c r="F165" s="6"/>
      <x:c r="G165" s="6"/>
      <x:c r="H165" s="6"/>
    </x:row>
    <x:row r="166">
      <x:c r="A166" s="7"/>
      <x:c r="B166" s="7"/>
      <x:c r="C166" s="6"/>
      <x:c r="D166" s="6"/>
      <x:c r="E166" s="6"/>
      <x:c r="F166" s="6"/>
      <x:c r="G166" s="6"/>
      <x:c r="H166" s="6"/>
    </x:row>
    <x:row r="167">
      <x:c r="A167" s="7"/>
      <x:c r="B167" s="7"/>
      <x:c r="C167" s="6"/>
      <x:c r="D167" s="6"/>
      <x:c r="E167" s="6"/>
      <x:c r="F167" s="6"/>
      <x:c r="G167" s="6"/>
      <x:c r="H167" s="6"/>
    </x:row>
    <x:row r="168">
      <x:c r="A168" s="7"/>
      <x:c r="B168" s="7"/>
      <x:c r="C168" s="6"/>
      <x:c r="D168" s="6"/>
      <x:c r="E168" s="6"/>
      <x:c r="F168" s="6"/>
      <x:c r="G168" s="6"/>
      <x:c r="H168" s="6"/>
    </x:row>
    <x:row r="169">
      <x:c r="A169" s="7"/>
      <x:c r="B169" s="7"/>
      <x:c r="C169" s="6"/>
      <x:c r="D169" s="6"/>
      <x:c r="E169" s="6"/>
      <x:c r="F169" s="6"/>
      <x:c r="G169" s="6"/>
      <x:c r="H169" s="6"/>
    </x:row>
    <x:row r="170">
      <x:c r="A170" s="7"/>
      <x:c r="B170" s="7"/>
      <x:c r="C170" s="6"/>
      <x:c r="D170" s="6"/>
      <x:c r="E170" s="6"/>
      <x:c r="F170" s="6"/>
      <x:c r="G170" s="6"/>
      <x:c r="H170" s="6"/>
    </x:row>
    <x:row r="171">
      <x:c r="A171" s="7"/>
      <x:c r="B171" s="7"/>
      <x:c r="C171" s="6"/>
      <x:c r="D171" s="6"/>
      <x:c r="E171" s="6"/>
      <x:c r="F171" s="6"/>
      <x:c r="G171" s="6"/>
      <x:c r="H171" s="6"/>
    </x:row>
    <x:row r="172">
      <x:c r="A172" s="7"/>
      <x:c r="B172" s="7"/>
      <x:c r="C172" s="6"/>
      <x:c r="D172" s="6"/>
      <x:c r="E172" s="6"/>
      <x:c r="F172" s="6"/>
      <x:c r="G172" s="6"/>
      <x:c r="H172" s="6"/>
    </x:row>
    <x:row r="173">
      <x:c r="A173" s="7"/>
      <x:c r="B173" s="7"/>
      <x:c r="C173" s="6"/>
      <x:c r="D173" s="6"/>
      <x:c r="E173" s="6"/>
      <x:c r="F173" s="6"/>
      <x:c r="G173" s="6"/>
      <x:c r="H173" s="6"/>
    </x:row>
    <x:row r="174">
      <x:c r="A174" s="7"/>
      <x:c r="B174" s="7"/>
      <x:c r="C174" s="6"/>
      <x:c r="D174" s="6"/>
      <x:c r="E174" s="6"/>
      <x:c r="F174" s="6"/>
      <x:c r="G174" s="6"/>
      <x:c r="H174" s="6"/>
    </x:row>
    <x:row r="175">
      <x:c r="A175" s="7"/>
      <x:c r="B175" s="7"/>
      <x:c r="C175" s="6"/>
      <x:c r="D175" s="6"/>
      <x:c r="E175" s="6"/>
      <x:c r="F175" s="6"/>
      <x:c r="G175" s="6"/>
      <x:c r="H175" s="6"/>
    </x:row>
    <x:row r="176">
      <x:c r="A176" s="7"/>
      <x:c r="B176" s="7"/>
      <x:c r="C176" s="6"/>
      <x:c r="D176" s="6"/>
      <x:c r="E176" s="6"/>
      <x:c r="F176" s="6"/>
      <x:c r="G176" s="6"/>
      <x:c r="H176" s="6"/>
    </x:row>
    <x:row r="177">
      <x:c r="A177" s="7"/>
      <x:c r="B177" s="7"/>
      <x:c r="C177" s="6"/>
      <x:c r="D177" s="6"/>
      <x:c r="E177" s="6"/>
      <x:c r="F177" s="6"/>
      <x:c r="G177" s="6"/>
      <x:c r="H177" s="6"/>
    </x:row>
    <x:row r="178">
      <x:c r="A178" s="7"/>
      <x:c r="B178" s="7"/>
      <x:c r="C178" s="6"/>
      <x:c r="D178" s="6"/>
      <x:c r="E178" s="6"/>
      <x:c r="F178" s="6"/>
      <x:c r="G178" s="6"/>
      <x:c r="H178" s="6"/>
    </x:row>
    <x:row r="179">
      <x:c r="A179" s="7"/>
      <x:c r="B179" s="7"/>
      <x:c r="C179" s="6"/>
      <x:c r="D179" s="6"/>
      <x:c r="E179" s="6"/>
      <x:c r="F179" s="6"/>
      <x:c r="G179" s="6"/>
      <x:c r="H179" s="6"/>
    </x:row>
    <x:row r="180">
      <x:c r="A180" s="7"/>
      <x:c r="B180" s="7"/>
      <x:c r="C180" s="6"/>
      <x:c r="D180" s="6"/>
      <x:c r="E180" s="6"/>
      <x:c r="F180" s="6"/>
      <x:c r="G180" s="6"/>
      <x:c r="H180" s="6"/>
    </x:row>
    <x:row r="181">
      <x:c r="A181" s="7"/>
      <x:c r="B181" s="7"/>
      <x:c r="C181" s="6"/>
      <x:c r="D181" s="6"/>
      <x:c r="E181" s="6"/>
      <x:c r="F181" s="6"/>
      <x:c r="G181" s="6"/>
      <x:c r="H181" s="6"/>
    </x:row>
    <x:row r="182">
      <x:c r="A182" s="7"/>
      <x:c r="B182" s="7"/>
      <x:c r="C182" s="6"/>
      <x:c r="D182" s="6"/>
      <x:c r="E182" s="6"/>
      <x:c r="F182" s="6"/>
      <x:c r="G182" s="6"/>
      <x:c r="H182" s="6"/>
    </x:row>
    <x:row r="183">
      <x:c r="A183" s="7"/>
      <x:c r="B183" s="7"/>
      <x:c r="C183" s="6"/>
      <x:c r="D183" s="6"/>
      <x:c r="E183" s="6"/>
      <x:c r="F183" s="6"/>
      <x:c r="G183" s="6"/>
      <x:c r="H183" s="6"/>
    </x:row>
    <x:row r="184">
      <x:c r="A184" s="7"/>
      <x:c r="B184" s="7"/>
      <x:c r="C184" s="6"/>
      <x:c r="D184" s="6"/>
      <x:c r="E184" s="6"/>
      <x:c r="F184" s="6"/>
      <x:c r="G184" s="6"/>
      <x:c r="H184" s="6"/>
    </x:row>
    <x:row r="185">
      <x:c r="A185" s="7"/>
      <x:c r="B185" s="7"/>
      <x:c r="C185" s="6"/>
      <x:c r="D185" s="6"/>
      <x:c r="E185" s="6"/>
      <x:c r="F185" s="6"/>
      <x:c r="G185" s="6"/>
      <x:c r="H185" s="6"/>
    </x:row>
    <x:row r="186">
      <x:c r="A186" s="7"/>
      <x:c r="B186" s="7"/>
      <x:c r="C186" s="6"/>
      <x:c r="D186" s="6"/>
      <x:c r="E186" s="6"/>
      <x:c r="F186" s="6"/>
      <x:c r="G186" s="6"/>
      <x:c r="H186" s="6"/>
    </x:row>
    <x:row r="187">
      <x:c r="A187" s="7"/>
      <x:c r="B187" s="7"/>
      <x:c r="C187" s="6"/>
      <x:c r="D187" s="6"/>
      <x:c r="E187" s="6"/>
      <x:c r="F187" s="6"/>
      <x:c r="G187" s="6"/>
      <x:c r="H187" s="6"/>
    </x:row>
    <x:row r="188">
      <x:c r="A188" s="7"/>
      <x:c r="B188" s="7"/>
      <x:c r="C188" s="6"/>
      <x:c r="D188" s="6"/>
      <x:c r="E188" s="6"/>
      <x:c r="F188" s="6"/>
      <x:c r="G188" s="6"/>
      <x:c r="H188" s="6"/>
    </x:row>
    <x:row r="189">
      <x:c r="A189" s="7"/>
      <x:c r="B189" s="7"/>
      <x:c r="C189" s="6"/>
      <x:c r="D189" s="6"/>
      <x:c r="E189" s="6"/>
      <x:c r="F189" s="6"/>
      <x:c r="G189" s="6"/>
      <x:c r="H189" s="6"/>
    </x:row>
    <x:row r="190">
      <x:c r="A190" s="7"/>
      <x:c r="B190" s="7"/>
      <x:c r="C190" s="6"/>
      <x:c r="D190" s="6"/>
      <x:c r="E190" s="6"/>
      <x:c r="F190" s="6"/>
      <x:c r="G190" s="6"/>
      <x:c r="H190" s="6"/>
    </x:row>
    <x:row r="191">
      <x:c r="A191" s="7"/>
      <x:c r="B191" s="7"/>
      <x:c r="C191" s="6"/>
      <x:c r="D191" s="6"/>
      <x:c r="E191" s="6"/>
      <x:c r="F191" s="6"/>
      <x:c r="G191" s="6"/>
      <x:c r="H191" s="6"/>
    </x:row>
    <x:row r="192">
      <x:c r="A192" s="7"/>
      <x:c r="B192" s="7"/>
      <x:c r="C192" s="6"/>
      <x:c r="D192" s="6"/>
      <x:c r="E192" s="6"/>
      <x:c r="F192" s="6"/>
      <x:c r="G192" s="6"/>
      <x:c r="H192" s="6"/>
    </x:row>
    <x:row r="193">
      <x:c r="A193" s="7"/>
      <x:c r="B193" s="7"/>
      <x:c r="C193" s="6"/>
      <x:c r="D193" s="6"/>
      <x:c r="E193" s="6"/>
      <x:c r="F193" s="6"/>
      <x:c r="G193" s="6"/>
      <x:c r="H193" s="6"/>
    </x:row>
    <x:row r="194">
      <x:c r="A194" s="7"/>
      <x:c r="B194" s="7"/>
      <x:c r="C194" s="6"/>
      <x:c r="D194" s="6"/>
      <x:c r="E194" s="6"/>
      <x:c r="F194" s="6"/>
      <x:c r="G194" s="6"/>
      <x:c r="H194" s="6"/>
    </x:row>
    <x:row r="195">
      <x:c r="A195" s="7"/>
      <x:c r="B195" s="7"/>
      <x:c r="C195" s="6"/>
      <x:c r="D195" s="6"/>
      <x:c r="E195" s="6"/>
      <x:c r="F195" s="6"/>
      <x:c r="G195" s="6"/>
      <x:c r="H195" s="6"/>
    </x:row>
    <x:row r="196">
      <x:c r="A196" s="7"/>
      <x:c r="B196" s="7"/>
      <x:c r="C196" s="6"/>
      <x:c r="D196" s="6"/>
      <x:c r="E196" s="6"/>
      <x:c r="F196" s="6"/>
      <x:c r="G196" s="6"/>
      <x:c r="H196" s="6"/>
    </x:row>
    <x:row r="197">
      <x:c r="A197" s="7"/>
      <x:c r="B197" s="7"/>
      <x:c r="C197" s="6"/>
      <x:c r="D197" s="6"/>
      <x:c r="E197" s="6"/>
      <x:c r="F197" s="6"/>
      <x:c r="G197" s="6"/>
      <x:c r="H197" s="6"/>
    </x:row>
    <x:row r="198">
      <x:c r="A198" s="7"/>
      <x:c r="B198" s="7"/>
      <x:c r="C198" s="6"/>
      <x:c r="D198" s="6"/>
      <x:c r="E198" s="6"/>
      <x:c r="F198" s="6"/>
      <x:c r="G198" s="6"/>
      <x:c r="H198" s="6"/>
    </x:row>
    <x:row r="199">
      <x:c r="A199" s="7"/>
      <x:c r="B199" s="7"/>
      <x:c r="C199" s="6"/>
      <x:c r="D199" s="6"/>
      <x:c r="E199" s="6"/>
      <x:c r="F199" s="6"/>
      <x:c r="G199" s="6"/>
      <x:c r="H199" s="6"/>
    </x:row>
    <x:row r="200">
      <x:c r="A200" s="7"/>
      <x:c r="B200" s="7"/>
      <x:c r="C200" s="6"/>
      <x:c r="D200" s="6"/>
      <x:c r="E200" s="6"/>
      <x:c r="F200" s="6"/>
      <x:c r="G200" s="6"/>
      <x:c r="H200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22" hidden="0" customWidth="1"/>
    <x:col min="5" max="5" width="16" hidden="0" customWidth="1"/>
    <x:col min="6" max="6" width="72" hidden="0" customWidth="1"/>
  </x:cols>
  <x:sheetData>
    <x:row r="1" ht="25" customHeight="1">
      <x:c r="A1" s="7"/>
      <x:c r="B1" s="7"/>
      <x:c r="C1" s="4" t="str">
        <x:v>NVIDIA owner-earnings bridge</x:v>
      </x:c>
      <x:c r="D1" s="4"/>
      <x:c r="E1" s="4"/>
      <x:c r="F1" s="4"/>
      <x:c r="G1" s="4"/>
    </x:row>
    <x:row r="2">
      <x:c r="A2" s="7"/>
      <x:c r="B2" s="7"/>
      <x:c r="C2" s="5" t="str">
        <x:v>Analyst estimate stays blank until maintenance and normalized net working capital are supported. The cash-flow statement is not reconstructed by adding only two working-capital lines.</x:v>
      </x:c>
      <x:c r="D2" s="5"/>
      <x:c r="E2" s="5"/>
      <x:c r="F2" s="5"/>
      <x:c r="G2" s="5"/>
    </x:row>
    <x:row r="3">
      <x:c r="A3" s="7"/>
      <x:c r="B3" s="7"/>
      <x:c r="C3" s="6"/>
      <x:c r="D3" s="6"/>
      <x:c r="E3" s="6"/>
      <x:c r="F3" s="6"/>
      <x:c r="G3" s="6"/>
    </x:row>
    <x:row r="4">
      <x:c r="A4" s="7"/>
      <x:c r="B4" s="7"/>
      <x:c r="C4" s="6"/>
      <x:c r="D4" s="6"/>
      <x:c r="E4" s="6"/>
      <x:c r="F4" s="6"/>
      <x:c r="G4" s="6"/>
    </x:row>
    <x:row r="5" ht="30" customHeight="1">
      <x:c r="A5" s="7"/>
      <x:c r="B5" s="7"/>
      <x:c r="C5" s="22" t="str">
        <x:v>Bridge line</x:v>
      </x:c>
      <x:c r="D5" s="22" t="str">
        <x:v>Amount</x:v>
      </x:c>
      <x:c r="E5" s="22" t="str">
        <x:v>Unit</x:v>
      </x:c>
      <x:c r="F5" s="22" t="str">
        <x:v>Treatment</x:v>
      </x:c>
      <x:c r="G5" s="6"/>
    </x:row>
    <x:row r="6">
      <x:c r="A6" s="7"/>
      <x:c r="B6" s="7"/>
      <x:c r="C6" s="40" t="str">
        <x:v>Net income</x:v>
      </x:c>
      <x:c r="D6" s="51" t="n">
        <x:f>'Filing Inputs'!D6</x:f>
        <x:v>120.067</x:v>
      </x:c>
      <x:c r="E6" s="24" t="str">
        <x:v>USD bn</x:v>
      </x:c>
      <x:c r="F6" s="40" t="str">
        <x:v>Filed starting point</x:v>
      </x:c>
      <x:c r="G6" s="6"/>
    </x:row>
    <x:row r="7">
      <x:c r="A7" s="7"/>
      <x:c r="B7" s="7"/>
      <x:c r="C7" s="41" t="str">
        <x:v>Depreciation and amortization</x:v>
      </x:c>
      <x:c r="D7" s="52" t="n">
        <x:f>'Filing Inputs'!D8</x:f>
        <x:v>2.843</x:v>
      </x:c>
      <x:c r="E7" s="25" t="str">
        <x:v>USD bn</x:v>
      </x:c>
      <x:c r="F7" s="41" t="str">
        <x:v>Noncash expense; renewal spending is estimated separately</x:v>
      </x:c>
      <x:c r="G7" s="6"/>
    </x:row>
    <x:row r="8">
      <x:c r="A8" s="7"/>
      <x:c r="B8" s="7"/>
      <x:c r="C8" s="41" t="str">
        <x:v>Stock-based compensation</x:v>
      </x:c>
      <x:c r="D8" s="52" t="n">
        <x:f>'Filing Inputs'!D7</x:f>
        <x:v>6.386</x:v>
      </x:c>
      <x:c r="E8" s="25" t="str">
        <x:v>USD bn</x:v>
      </x:c>
      <x:c r="F8" s="41" t="str">
        <x:v>Treatment follows Assumptions</x:v>
      </x:c>
      <x:c r="G8" s="6"/>
    </x:row>
    <x:row r="9">
      <x:c r="A9" s="7"/>
      <x:c r="B9" s="7"/>
      <x:c r="C9" s="41" t="str">
        <x:v>Add-back if selected</x:v>
      </x:c>
      <x:c r="D9" s="25" t="n">
        <x:f>IF(Assumptions!F9="Add back + dilution",D8,0)</x:f>
        <x:v>0</x:v>
      </x:c>
      <x:c r="E9" s="25" t="str">
        <x:v>USD bn</x:v>
      </x:c>
      <x:c r="F9" s="41" t="str">
        <x:v>Only if dilution / repurchase cost is modeled</x:v>
      </x:c>
      <x:c r="G9" s="6"/>
    </x:row>
    <x:row r="10">
      <x:c r="A10" s="7"/>
      <x:c r="B10" s="7"/>
      <x:c r="C10" s="41" t="str">
        <x:v>Estimated maintenance investment</x:v>
      </x:c>
      <x:c r="D10" s="25" t="str">
        <x:f>Assumptions!F7</x:f>
      </x:c>
      <x:c r="E10" s="25" t="str">
        <x:v>USD bn</x:v>
      </x:c>
      <x:c r="F10" s="41" t="str">
        <x:v>Analyst input; not separately disclosed</x:v>
      </x:c>
      <x:c r="G10" s="6"/>
    </x:row>
    <x:row r="11">
      <x:c r="A11" s="7"/>
      <x:c r="B11" s="7"/>
      <x:c r="C11" s="41" t="str">
        <x:v>Normalized incremental net working capital</x:v>
      </x:c>
      <x:c r="D11" s="25" t="str">
        <x:f>Assumptions!F8</x:f>
      </x:c>
      <x:c r="E11" s="25" t="str">
        <x:v>USD bn</x:v>
      </x:c>
      <x:c r="F11" s="41" t="str">
        <x:v>Analyst input; reconcile all relevant balances</x:v>
      </x:c>
      <x:c r="G11" s="6"/>
    </x:row>
    <x:row r="12">
      <x:c r="A12" s="7"/>
      <x:c r="B12" s="7"/>
      <x:c r="C12" s="41" t="str">
        <x:v>Estimated equity owner earnings</x:v>
      </x:c>
      <x:c r="D12" s="25" t="str">
        <x:f>IF(OR(D10="",D11=""),"",D6+D7+D9-D10-D11)</x:f>
      </x:c>
      <x:c r="E12" s="25" t="str">
        <x:v>USD bn</x:v>
      </x:c>
      <x:c r="F12" s="41" t="str">
        <x:v>Incomplete until both assumptions are filled</x:v>
      </x:c>
      <x:c r="G12" s="6"/>
    </x:row>
    <x:row r="13">
      <x:c r="A13" s="7"/>
      <x:c r="B13" s="7"/>
      <x:c r="C13" s="41" t="str">
        <x:v>Bridge status</x:v>
      </x:c>
      <x:c r="D13" s="25" t="str">
        <x:f>IF(D12="","Needs maintenance and NWC evidence","Scenario calculated; review dilution and commitments")</x:f>
        <x:v>Needs maintenance and NWC evidence</x:v>
      </x:c>
      <x:c r="E13" s="25" t="str"/>
      <x:c r="F13" s="41" t="str">
        <x:v>Blank is unavailable, not zero</x:v>
      </x:c>
      <x:c r="G13" s="6"/>
    </x:row>
    <x:row r="14">
      <x:c r="A14" s="7"/>
      <x:c r="B14" s="7"/>
      <x:c r="C14" s="41" t="str">
        <x:v>Known AR + inventory cash uses</x:v>
      </x:c>
      <x:c r="D14" s="52" t="n">
        <x:f>'Filing Inputs'!D12</x:f>
        <x:v>26.723</x:v>
      </x:c>
      <x:c r="E14" s="25" t="str">
        <x:v>USD bn</x:v>
      </x:c>
      <x:c r="F14" s="41" t="str">
        <x:v>Diagnostic only; not deducted as net working capital</x:v>
      </x:c>
      <x:c r="G14" s="6"/>
    </x:row>
    <x:row r="15">
      <x:c r="A15" s="7"/>
      <x:c r="B15" s="7"/>
      <x:c r="C15" s="42" t="str">
        <x:v>Supply / capacity obligations</x:v>
      </x:c>
      <x:c r="D15" s="54" t="n">
        <x:f>'Filing Inputs'!D13</x:f>
        <x:v>95.2</x:v>
      </x:c>
      <x:c r="E15" s="26" t="str">
        <x:v>USD bn</x:v>
      </x:c>
      <x:c r="F15" s="42" t="str">
        <x:v>Schedule by date and contract terms before modeling cash</x:v>
      </x:c>
      <x:c r="G15" s="6"/>
    </x:row>
    <x:row r="16">
      <x:c r="A16" s="7"/>
      <x:c r="B16" s="7"/>
      <x:c r="C16" s="6"/>
      <x:c r="D16" s="6"/>
      <x:c r="E16" s="6"/>
      <x:c r="F16" s="6"/>
      <x:c r="G16" s="6"/>
    </x:row>
    <x:row r="17">
      <x:c r="A17" s="7"/>
      <x:c r="B17" s="7"/>
      <x:c r="C17" s="6"/>
      <x:c r="D17" s="6"/>
      <x:c r="E17" s="6"/>
      <x:c r="F17" s="6"/>
      <x:c r="G17" s="6"/>
    </x:row>
    <x:row r="18">
      <x:c r="A18" s="7"/>
      <x:c r="B18" s="7"/>
      <x:c r="C18" s="6"/>
      <x:c r="D18" s="6"/>
      <x:c r="E18" s="6"/>
      <x:c r="F18" s="6"/>
      <x:c r="G18" s="6"/>
    </x:row>
    <x:row r="19">
      <x:c r="A19" s="7"/>
      <x:c r="B19" s="7"/>
      <x:c r="C19" s="6"/>
      <x:c r="D19" s="6"/>
      <x:c r="E19" s="6"/>
      <x:c r="F19" s="6"/>
      <x:c r="G19" s="6"/>
    </x:row>
    <x:row r="20">
      <x:c r="A20" s="7"/>
      <x:c r="B20" s="7"/>
      <x:c r="C20" s="6"/>
      <x:c r="D20" s="6"/>
      <x:c r="E20" s="6"/>
      <x:c r="F20" s="6"/>
      <x:c r="G20" s="6"/>
    </x:row>
    <x:row r="21">
      <x:c r="A21" s="7"/>
      <x:c r="B21" s="7"/>
      <x:c r="C21" s="6"/>
      <x:c r="D21" s="6"/>
      <x:c r="E21" s="6"/>
      <x:c r="F21" s="6"/>
      <x:c r="G21" s="6"/>
    </x:row>
    <x:row r="22">
      <x:c r="A22" s="7"/>
      <x:c r="B22" s="7"/>
      <x:c r="C22" s="6"/>
      <x:c r="D22" s="6"/>
      <x:c r="E22" s="6"/>
      <x:c r="F22" s="6"/>
      <x:c r="G22" s="6"/>
    </x:row>
    <x:row r="23">
      <x:c r="A23" s="7"/>
      <x:c r="B23" s="7"/>
      <x:c r="C23" s="6"/>
      <x:c r="D23" s="6"/>
      <x:c r="E23" s="6"/>
      <x:c r="F23" s="6"/>
      <x:c r="G23" s="6"/>
    </x:row>
    <x:row r="24">
      <x:c r="A24" s="7"/>
      <x:c r="B24" s="7"/>
      <x:c r="C24" s="6"/>
      <x:c r="D24" s="6"/>
      <x:c r="E24" s="6"/>
      <x:c r="F24" s="6"/>
      <x:c r="G24" s="6"/>
    </x:row>
    <x:row r="25">
      <x:c r="A25" s="7"/>
      <x:c r="B25" s="7"/>
      <x:c r="C25" s="6"/>
      <x:c r="D25" s="6"/>
      <x:c r="E25" s="6"/>
      <x:c r="F25" s="6"/>
      <x:c r="G25" s="6"/>
    </x:row>
    <x:row r="26">
      <x:c r="A26" s="7"/>
      <x:c r="B26" s="7"/>
      <x:c r="C26" s="6"/>
      <x:c r="D26" s="6"/>
      <x:c r="E26" s="6"/>
      <x:c r="F26" s="6"/>
      <x:c r="G26" s="6"/>
    </x:row>
    <x:row r="27">
      <x:c r="A27" s="7"/>
      <x:c r="B27" s="7"/>
      <x:c r="C27" s="6"/>
      <x:c r="D27" s="6"/>
      <x:c r="E27" s="6"/>
      <x:c r="F27" s="6"/>
      <x:c r="G27" s="6"/>
    </x:row>
    <x:row r="28">
      <x:c r="A28" s="7"/>
      <x:c r="B28" s="7"/>
      <x:c r="C28" s="6"/>
      <x:c r="D28" s="6"/>
      <x:c r="E28" s="6"/>
      <x:c r="F28" s="6"/>
      <x:c r="G28" s="6"/>
    </x:row>
    <x:row r="29">
      <x:c r="A29" s="7"/>
      <x:c r="B29" s="7"/>
      <x:c r="C29" s="6"/>
      <x:c r="D29" s="6"/>
      <x:c r="E29" s="6"/>
      <x:c r="F29" s="6"/>
      <x:c r="G29" s="6"/>
    </x:row>
    <x:row r="30">
      <x:c r="A30" s="7"/>
      <x:c r="B30" s="7"/>
      <x:c r="C30" s="6"/>
      <x:c r="D30" s="6"/>
      <x:c r="E30" s="6"/>
      <x:c r="F30" s="6"/>
      <x:c r="G30" s="6"/>
    </x:row>
    <x:row r="31">
      <x:c r="A31" s="7"/>
      <x:c r="B31" s="7"/>
      <x:c r="C31" s="6"/>
      <x:c r="D31" s="6"/>
      <x:c r="E31" s="6"/>
      <x:c r="F31" s="6"/>
      <x:c r="G31" s="6"/>
    </x:row>
    <x:row r="32">
      <x:c r="A32" s="7"/>
      <x:c r="B32" s="7"/>
      <x:c r="C32" s="6"/>
      <x:c r="D32" s="6"/>
      <x:c r="E32" s="6"/>
      <x:c r="F32" s="6"/>
      <x:c r="G32" s="6"/>
    </x:row>
    <x:row r="33">
      <x:c r="A33" s="7"/>
      <x:c r="B33" s="7"/>
      <x:c r="C33" s="6"/>
      <x:c r="D33" s="6"/>
      <x:c r="E33" s="6"/>
      <x:c r="F33" s="6"/>
      <x:c r="G33" s="6"/>
    </x:row>
    <x:row r="34">
      <x:c r="A34" s="7"/>
      <x:c r="B34" s="7"/>
      <x:c r="C34" s="6"/>
      <x:c r="D34" s="6"/>
      <x:c r="E34" s="6"/>
      <x:c r="F34" s="6"/>
      <x:c r="G34" s="6"/>
    </x:row>
    <x:row r="35">
      <x:c r="A35" s="7"/>
      <x:c r="B35" s="7"/>
      <x:c r="C35" s="6"/>
      <x:c r="D35" s="6"/>
      <x:c r="E35" s="6"/>
      <x:c r="F35" s="6"/>
      <x:c r="G35" s="6"/>
    </x:row>
    <x:row r="36">
      <x:c r="A36" s="7"/>
      <x:c r="B36" s="7"/>
      <x:c r="C36" s="6"/>
      <x:c r="D36" s="6"/>
      <x:c r="E36" s="6"/>
      <x:c r="F36" s="6"/>
      <x:c r="G36" s="6"/>
    </x:row>
    <x:row r="37">
      <x:c r="A37" s="7"/>
      <x:c r="B37" s="7"/>
      <x:c r="C37" s="6"/>
      <x:c r="D37" s="6"/>
      <x:c r="E37" s="6"/>
      <x:c r="F37" s="6"/>
      <x:c r="G37" s="6"/>
    </x:row>
    <x:row r="38">
      <x:c r="A38" s="7"/>
      <x:c r="B38" s="7"/>
      <x:c r="C38" s="6"/>
      <x:c r="D38" s="6"/>
      <x:c r="E38" s="6"/>
      <x:c r="F38" s="6"/>
      <x:c r="G38" s="6"/>
    </x:row>
    <x:row r="39">
      <x:c r="A39" s="7"/>
      <x:c r="B39" s="7"/>
      <x:c r="C39" s="6"/>
      <x:c r="D39" s="6"/>
      <x:c r="E39" s="6"/>
      <x:c r="F39" s="6"/>
      <x:c r="G39" s="6"/>
    </x:row>
    <x:row r="40">
      <x:c r="A40" s="7"/>
      <x:c r="B40" s="7"/>
      <x:c r="C40" s="6"/>
      <x:c r="D40" s="6"/>
      <x:c r="E40" s="6"/>
      <x:c r="F40" s="6"/>
      <x:c r="G40" s="6"/>
    </x:row>
    <x:row r="41">
      <x:c r="A41" s="7"/>
      <x:c r="B41" s="7"/>
      <x:c r="C41" s="6"/>
      <x:c r="D41" s="6"/>
      <x:c r="E41" s="6"/>
      <x:c r="F41" s="6"/>
      <x:c r="G41" s="6"/>
    </x:row>
    <x:row r="42">
      <x:c r="A42" s="7"/>
      <x:c r="B42" s="7"/>
      <x:c r="C42" s="6"/>
      <x:c r="D42" s="6"/>
      <x:c r="E42" s="6"/>
      <x:c r="F42" s="6"/>
      <x:c r="G42" s="6"/>
    </x:row>
    <x:row r="43">
      <x:c r="A43" s="7"/>
      <x:c r="B43" s="7"/>
      <x:c r="C43" s="6"/>
      <x:c r="D43" s="6"/>
      <x:c r="E43" s="6"/>
      <x:c r="F43" s="6"/>
      <x:c r="G43" s="6"/>
    </x:row>
    <x:row r="44">
      <x:c r="A44" s="7"/>
      <x:c r="B44" s="7"/>
      <x:c r="C44" s="6"/>
      <x:c r="D44" s="6"/>
      <x:c r="E44" s="6"/>
      <x:c r="F44" s="6"/>
      <x:c r="G44" s="6"/>
    </x:row>
    <x:row r="45">
      <x:c r="A45" s="7"/>
      <x:c r="B45" s="7"/>
      <x:c r="C45" s="6"/>
      <x:c r="D45" s="6"/>
      <x:c r="E45" s="6"/>
      <x:c r="F45" s="6"/>
      <x:c r="G45" s="6"/>
    </x:row>
    <x:row r="46">
      <x:c r="A46" s="7"/>
      <x:c r="B46" s="7"/>
      <x:c r="C46" s="6"/>
      <x:c r="D46" s="6"/>
      <x:c r="E46" s="6"/>
      <x:c r="F46" s="6"/>
      <x:c r="G46" s="6"/>
    </x:row>
    <x:row r="47">
      <x:c r="A47" s="7"/>
      <x:c r="B47" s="7"/>
      <x:c r="C47" s="6"/>
      <x:c r="D47" s="6"/>
      <x:c r="E47" s="6"/>
      <x:c r="F47" s="6"/>
      <x:c r="G47" s="6"/>
    </x:row>
    <x:row r="48">
      <x:c r="A48" s="7"/>
      <x:c r="B48" s="7"/>
      <x:c r="C48" s="6"/>
      <x:c r="D48" s="6"/>
      <x:c r="E48" s="6"/>
      <x:c r="F48" s="6"/>
      <x:c r="G48" s="6"/>
    </x:row>
    <x:row r="49">
      <x:c r="A49" s="7"/>
      <x:c r="B49" s="7"/>
      <x:c r="C49" s="6"/>
      <x:c r="D49" s="6"/>
      <x:c r="E49" s="6"/>
      <x:c r="F49" s="6"/>
      <x:c r="G49" s="6"/>
    </x:row>
    <x:row r="50">
      <x:c r="A50" s="7"/>
      <x:c r="B50" s="7"/>
      <x:c r="C50" s="6"/>
      <x:c r="D50" s="6"/>
      <x:c r="E50" s="6"/>
      <x:c r="F50" s="6"/>
      <x:c r="G50" s="6"/>
    </x:row>
    <x:row r="51">
      <x:c r="A51" s="7"/>
      <x:c r="B51" s="7"/>
      <x:c r="C51" s="6"/>
      <x:c r="D51" s="6"/>
      <x:c r="E51" s="6"/>
      <x:c r="F51" s="6"/>
      <x:c r="G51" s="6"/>
    </x:row>
    <x:row r="52">
      <x:c r="A52" s="7"/>
      <x:c r="B52" s="7"/>
      <x:c r="C52" s="6"/>
      <x:c r="D52" s="6"/>
      <x:c r="E52" s="6"/>
      <x:c r="F52" s="6"/>
      <x:c r="G52" s="6"/>
    </x:row>
    <x:row r="53">
      <x:c r="A53" s="7"/>
      <x:c r="B53" s="7"/>
      <x:c r="C53" s="6"/>
      <x:c r="D53" s="6"/>
      <x:c r="E53" s="6"/>
      <x:c r="F53" s="6"/>
      <x:c r="G53" s="6"/>
    </x:row>
    <x:row r="54">
      <x:c r="A54" s="7"/>
      <x:c r="B54" s="7"/>
      <x:c r="C54" s="6"/>
      <x:c r="D54" s="6"/>
      <x:c r="E54" s="6"/>
      <x:c r="F54" s="6"/>
      <x:c r="G54" s="6"/>
    </x:row>
    <x:row r="55">
      <x:c r="A55" s="7"/>
      <x:c r="B55" s="7"/>
      <x:c r="C55" s="6"/>
      <x:c r="D55" s="6"/>
      <x:c r="E55" s="6"/>
      <x:c r="F55" s="6"/>
      <x:c r="G55" s="6"/>
    </x:row>
    <x:row r="56">
      <x:c r="A56" s="7"/>
      <x:c r="B56" s="7"/>
      <x:c r="C56" s="6"/>
      <x:c r="D56" s="6"/>
      <x:c r="E56" s="6"/>
      <x:c r="F56" s="6"/>
      <x:c r="G56" s="6"/>
    </x:row>
    <x:row r="57">
      <x:c r="A57" s="7"/>
      <x:c r="B57" s="7"/>
      <x:c r="C57" s="6"/>
      <x:c r="D57" s="6"/>
      <x:c r="E57" s="6"/>
      <x:c r="F57" s="6"/>
      <x:c r="G57" s="6"/>
    </x:row>
    <x:row r="58">
      <x:c r="A58" s="7"/>
      <x:c r="B58" s="7"/>
      <x:c r="C58" s="6"/>
      <x:c r="D58" s="6"/>
      <x:c r="E58" s="6"/>
      <x:c r="F58" s="6"/>
      <x:c r="G58" s="6"/>
    </x:row>
    <x:row r="59">
      <x:c r="A59" s="7"/>
      <x:c r="B59" s="7"/>
      <x:c r="C59" s="6"/>
      <x:c r="D59" s="6"/>
      <x:c r="E59" s="6"/>
      <x:c r="F59" s="6"/>
      <x:c r="G59" s="6"/>
    </x:row>
    <x:row r="60">
      <x:c r="A60" s="7"/>
      <x:c r="B60" s="7"/>
      <x:c r="C60" s="6"/>
      <x:c r="D60" s="6"/>
      <x:c r="E60" s="6"/>
      <x:c r="F60" s="6"/>
      <x:c r="G60" s="6"/>
    </x:row>
    <x:row r="61">
      <x:c r="A61" s="7"/>
      <x:c r="B61" s="7"/>
      <x:c r="C61" s="6"/>
      <x:c r="D61" s="6"/>
      <x:c r="E61" s="6"/>
      <x:c r="F61" s="6"/>
      <x:c r="G61" s="6"/>
    </x:row>
    <x:row r="62">
      <x:c r="A62" s="7"/>
      <x:c r="B62" s="7"/>
      <x:c r="C62" s="6"/>
      <x:c r="D62" s="6"/>
      <x:c r="E62" s="6"/>
      <x:c r="F62" s="6"/>
      <x:c r="G62" s="6"/>
    </x:row>
    <x:row r="63">
      <x:c r="A63" s="7"/>
      <x:c r="B63" s="7"/>
      <x:c r="C63" s="6"/>
      <x:c r="D63" s="6"/>
      <x:c r="E63" s="6"/>
      <x:c r="F63" s="6"/>
      <x:c r="G63" s="6"/>
    </x:row>
    <x:row r="64">
      <x:c r="A64" s="7"/>
      <x:c r="B64" s="7"/>
      <x:c r="C64" s="6"/>
      <x:c r="D64" s="6"/>
      <x:c r="E64" s="6"/>
      <x:c r="F64" s="6"/>
      <x:c r="G64" s="6"/>
    </x:row>
    <x:row r="65">
      <x:c r="A65" s="7"/>
      <x:c r="B65" s="7"/>
      <x:c r="C65" s="6"/>
      <x:c r="D65" s="6"/>
      <x:c r="E65" s="6"/>
      <x:c r="F65" s="6"/>
      <x:c r="G65" s="6"/>
    </x:row>
    <x:row r="66">
      <x:c r="A66" s="7"/>
      <x:c r="B66" s="7"/>
      <x:c r="C66" s="6"/>
      <x:c r="D66" s="6"/>
      <x:c r="E66" s="6"/>
      <x:c r="F66" s="6"/>
      <x:c r="G66" s="6"/>
    </x:row>
    <x:row r="67">
      <x:c r="A67" s="7"/>
      <x:c r="B67" s="7"/>
      <x:c r="C67" s="6"/>
      <x:c r="D67" s="6"/>
      <x:c r="E67" s="6"/>
      <x:c r="F67" s="6"/>
      <x:c r="G67" s="6"/>
    </x:row>
    <x:row r="68">
      <x:c r="A68" s="7"/>
      <x:c r="B68" s="7"/>
      <x:c r="C68" s="6"/>
      <x:c r="D68" s="6"/>
      <x:c r="E68" s="6"/>
      <x:c r="F68" s="6"/>
      <x:c r="G68" s="6"/>
    </x:row>
    <x:row r="69">
      <x:c r="A69" s="7"/>
      <x:c r="B69" s="7"/>
      <x:c r="C69" s="6"/>
      <x:c r="D69" s="6"/>
      <x:c r="E69" s="6"/>
      <x:c r="F69" s="6"/>
      <x:c r="G69" s="6"/>
    </x:row>
    <x:row r="70">
      <x:c r="A70" s="7"/>
      <x:c r="B70" s="7"/>
      <x:c r="C70" s="6"/>
      <x:c r="D70" s="6"/>
      <x:c r="E70" s="6"/>
      <x:c r="F70" s="6"/>
      <x:c r="G70" s="6"/>
    </x:row>
    <x:row r="71">
      <x:c r="A71" s="7"/>
      <x:c r="B71" s="7"/>
      <x:c r="C71" s="6"/>
      <x:c r="D71" s="6"/>
      <x:c r="E71" s="6"/>
      <x:c r="F71" s="6"/>
      <x:c r="G71" s="6"/>
    </x:row>
    <x:row r="72">
      <x:c r="A72" s="7"/>
      <x:c r="B72" s="7"/>
      <x:c r="C72" s="6"/>
      <x:c r="D72" s="6"/>
      <x:c r="E72" s="6"/>
      <x:c r="F72" s="6"/>
      <x:c r="G72" s="6"/>
    </x:row>
    <x:row r="73">
      <x:c r="A73" s="7"/>
      <x:c r="B73" s="7"/>
      <x:c r="C73" s="6"/>
      <x:c r="D73" s="6"/>
      <x:c r="E73" s="6"/>
      <x:c r="F73" s="6"/>
      <x:c r="G73" s="6"/>
    </x:row>
    <x:row r="74">
      <x:c r="A74" s="7"/>
      <x:c r="B74" s="7"/>
      <x:c r="C74" s="6"/>
      <x:c r="D74" s="6"/>
      <x:c r="E74" s="6"/>
      <x:c r="F74" s="6"/>
      <x:c r="G74" s="6"/>
    </x:row>
    <x:row r="75">
      <x:c r="A75" s="7"/>
      <x:c r="B75" s="7"/>
      <x:c r="C75" s="6"/>
      <x:c r="D75" s="6"/>
      <x:c r="E75" s="6"/>
      <x:c r="F75" s="6"/>
      <x:c r="G75" s="6"/>
    </x:row>
    <x:row r="76">
      <x:c r="A76" s="7"/>
      <x:c r="B76" s="7"/>
      <x:c r="C76" s="6"/>
      <x:c r="D76" s="6"/>
      <x:c r="E76" s="6"/>
      <x:c r="F76" s="6"/>
      <x:c r="G76" s="6"/>
    </x:row>
    <x:row r="77">
      <x:c r="A77" s="7"/>
      <x:c r="B77" s="7"/>
      <x:c r="C77" s="6"/>
      <x:c r="D77" s="6"/>
      <x:c r="E77" s="6"/>
      <x:c r="F77" s="6"/>
      <x:c r="G77" s="6"/>
    </x:row>
    <x:row r="78">
      <x:c r="A78" s="7"/>
      <x:c r="B78" s="7"/>
      <x:c r="C78" s="6"/>
      <x:c r="D78" s="6"/>
      <x:c r="E78" s="6"/>
      <x:c r="F78" s="6"/>
      <x:c r="G78" s="6"/>
    </x:row>
    <x:row r="79">
      <x:c r="A79" s="7"/>
      <x:c r="B79" s="7"/>
      <x:c r="C79" s="6"/>
      <x:c r="D79" s="6"/>
      <x:c r="E79" s="6"/>
      <x:c r="F79" s="6"/>
      <x:c r="G79" s="6"/>
    </x:row>
    <x:row r="80">
      <x:c r="A80" s="7"/>
      <x:c r="B80" s="7"/>
      <x:c r="C80" s="6"/>
      <x:c r="D80" s="6"/>
      <x:c r="E80" s="6"/>
      <x:c r="F80" s="6"/>
      <x:c r="G80" s="6"/>
    </x:row>
    <x:row r="81">
      <x:c r="A81" s="7"/>
      <x:c r="B81" s="7"/>
      <x:c r="C81" s="6"/>
      <x:c r="D81" s="6"/>
      <x:c r="E81" s="6"/>
      <x:c r="F81" s="6"/>
      <x:c r="G81" s="6"/>
    </x:row>
    <x:row r="82">
      <x:c r="A82" s="7"/>
      <x:c r="B82" s="7"/>
      <x:c r="C82" s="6"/>
      <x:c r="D82" s="6"/>
      <x:c r="E82" s="6"/>
      <x:c r="F82" s="6"/>
      <x:c r="G82" s="6"/>
    </x:row>
    <x:row r="83">
      <x:c r="A83" s="7"/>
      <x:c r="B83" s="7"/>
      <x:c r="C83" s="6"/>
      <x:c r="D83" s="6"/>
      <x:c r="E83" s="6"/>
      <x:c r="F83" s="6"/>
      <x:c r="G83" s="6"/>
    </x:row>
    <x:row r="84">
      <x:c r="A84" s="7"/>
      <x:c r="B84" s="7"/>
      <x:c r="C84" s="6"/>
      <x:c r="D84" s="6"/>
      <x:c r="E84" s="6"/>
      <x:c r="F84" s="6"/>
      <x:c r="G84" s="6"/>
    </x:row>
    <x:row r="85">
      <x:c r="A85" s="7"/>
      <x:c r="B85" s="7"/>
      <x:c r="C85" s="6"/>
      <x:c r="D85" s="6"/>
      <x:c r="E85" s="6"/>
      <x:c r="F85" s="6"/>
      <x:c r="G85" s="6"/>
    </x:row>
    <x:row r="86">
      <x:c r="A86" s="7"/>
      <x:c r="B86" s="7"/>
      <x:c r="C86" s="6"/>
      <x:c r="D86" s="6"/>
      <x:c r="E86" s="6"/>
      <x:c r="F86" s="6"/>
      <x:c r="G86" s="6"/>
    </x:row>
    <x:row r="87">
      <x:c r="A87" s="7"/>
      <x:c r="B87" s="7"/>
      <x:c r="C87" s="6"/>
      <x:c r="D87" s="6"/>
      <x:c r="E87" s="6"/>
      <x:c r="F87" s="6"/>
      <x:c r="G87" s="6"/>
    </x:row>
    <x:row r="88">
      <x:c r="A88" s="7"/>
      <x:c r="B88" s="7"/>
      <x:c r="C88" s="6"/>
      <x:c r="D88" s="6"/>
      <x:c r="E88" s="6"/>
      <x:c r="F88" s="6"/>
      <x:c r="G88" s="6"/>
    </x:row>
    <x:row r="89">
      <x:c r="A89" s="7"/>
      <x:c r="B89" s="7"/>
      <x:c r="C89" s="6"/>
      <x:c r="D89" s="6"/>
      <x:c r="E89" s="6"/>
      <x:c r="F89" s="6"/>
      <x:c r="G89" s="6"/>
    </x:row>
    <x:row r="90">
      <x:c r="A90" s="7"/>
      <x:c r="B90" s="7"/>
      <x:c r="C90" s="6"/>
      <x:c r="D90" s="6"/>
      <x:c r="E90" s="6"/>
      <x:c r="F90" s="6"/>
      <x:c r="G90" s="6"/>
    </x:row>
    <x:row r="91">
      <x:c r="A91" s="7"/>
      <x:c r="B91" s="7"/>
      <x:c r="C91" s="6"/>
      <x:c r="D91" s="6"/>
      <x:c r="E91" s="6"/>
      <x:c r="F91" s="6"/>
      <x:c r="G91" s="6"/>
    </x:row>
    <x:row r="92">
      <x:c r="A92" s="7"/>
      <x:c r="B92" s="7"/>
      <x:c r="C92" s="6"/>
      <x:c r="D92" s="6"/>
      <x:c r="E92" s="6"/>
      <x:c r="F92" s="6"/>
      <x:c r="G92" s="6"/>
    </x:row>
    <x:row r="93">
      <x:c r="A93" s="7"/>
      <x:c r="B93" s="7"/>
      <x:c r="C93" s="6"/>
      <x:c r="D93" s="6"/>
      <x:c r="E93" s="6"/>
      <x:c r="F93" s="6"/>
      <x:c r="G93" s="6"/>
    </x:row>
    <x:row r="94">
      <x:c r="A94" s="7"/>
      <x:c r="B94" s="7"/>
      <x:c r="C94" s="6"/>
      <x:c r="D94" s="6"/>
      <x:c r="E94" s="6"/>
      <x:c r="F94" s="6"/>
      <x:c r="G94" s="6"/>
    </x:row>
    <x:row r="95">
      <x:c r="A95" s="7"/>
      <x:c r="B95" s="7"/>
      <x:c r="C95" s="6"/>
      <x:c r="D95" s="6"/>
      <x:c r="E95" s="6"/>
      <x:c r="F95" s="6"/>
      <x:c r="G95" s="6"/>
    </x:row>
    <x:row r="96">
      <x:c r="A96" s="7"/>
      <x:c r="B96" s="7"/>
      <x:c r="C96" s="6"/>
      <x:c r="D96" s="6"/>
      <x:c r="E96" s="6"/>
      <x:c r="F96" s="6"/>
      <x:c r="G96" s="6"/>
    </x:row>
    <x:row r="97">
      <x:c r="A97" s="7"/>
      <x:c r="B97" s="7"/>
      <x:c r="C97" s="6"/>
      <x:c r="D97" s="6"/>
      <x:c r="E97" s="6"/>
      <x:c r="F97" s="6"/>
      <x:c r="G97" s="6"/>
    </x:row>
    <x:row r="98">
      <x:c r="A98" s="7"/>
      <x:c r="B98" s="7"/>
      <x:c r="C98" s="6"/>
      <x:c r="D98" s="6"/>
      <x:c r="E98" s="6"/>
      <x:c r="F98" s="6"/>
      <x:c r="G98" s="6"/>
    </x:row>
    <x:row r="99">
      <x:c r="A99" s="7"/>
      <x:c r="B99" s="7"/>
      <x:c r="C99" s="6"/>
      <x:c r="D99" s="6"/>
      <x:c r="E99" s="6"/>
      <x:c r="F99" s="6"/>
      <x:c r="G99" s="6"/>
    </x:row>
    <x:row r="100">
      <x:c r="A100" s="7"/>
      <x:c r="B100" s="7"/>
      <x:c r="C100" s="6"/>
      <x:c r="D100" s="6"/>
      <x:c r="E100" s="6"/>
      <x:c r="F100" s="6"/>
      <x:c r="G100" s="6"/>
    </x:row>
    <x:row r="101">
      <x:c r="A101" s="7"/>
      <x:c r="B101" s="7"/>
      <x:c r="C101" s="6"/>
      <x:c r="D101" s="6"/>
      <x:c r="E101" s="6"/>
      <x:c r="F101" s="6"/>
      <x:c r="G101" s="6"/>
    </x:row>
    <x:row r="102">
      <x:c r="A102" s="7"/>
      <x:c r="B102" s="7"/>
      <x:c r="C102" s="6"/>
      <x:c r="D102" s="6"/>
      <x:c r="E102" s="6"/>
      <x:c r="F102" s="6"/>
      <x:c r="G102" s="6"/>
    </x:row>
    <x:row r="103">
      <x:c r="A103" s="7"/>
      <x:c r="B103" s="7"/>
      <x:c r="C103" s="6"/>
      <x:c r="D103" s="6"/>
      <x:c r="E103" s="6"/>
      <x:c r="F103" s="6"/>
      <x:c r="G103" s="6"/>
    </x:row>
    <x:row r="104">
      <x:c r="A104" s="7"/>
      <x:c r="B104" s="7"/>
      <x:c r="C104" s="6"/>
      <x:c r="D104" s="6"/>
      <x:c r="E104" s="6"/>
      <x:c r="F104" s="6"/>
      <x:c r="G104" s="6"/>
    </x:row>
    <x:row r="105">
      <x:c r="A105" s="7"/>
      <x:c r="B105" s="7"/>
      <x:c r="C105" s="6"/>
      <x:c r="D105" s="6"/>
      <x:c r="E105" s="6"/>
      <x:c r="F105" s="6"/>
      <x:c r="G105" s="6"/>
    </x:row>
    <x:row r="106">
      <x:c r="A106" s="7"/>
      <x:c r="B106" s="7"/>
      <x:c r="C106" s="6"/>
      <x:c r="D106" s="6"/>
      <x:c r="E106" s="6"/>
      <x:c r="F106" s="6"/>
      <x:c r="G106" s="6"/>
    </x:row>
    <x:row r="107">
      <x:c r="A107" s="7"/>
      <x:c r="B107" s="7"/>
      <x:c r="C107" s="6"/>
      <x:c r="D107" s="6"/>
      <x:c r="E107" s="6"/>
      <x:c r="F107" s="6"/>
      <x:c r="G107" s="6"/>
    </x:row>
    <x:row r="108">
      <x:c r="A108" s="7"/>
      <x:c r="B108" s="7"/>
      <x:c r="C108" s="6"/>
      <x:c r="D108" s="6"/>
      <x:c r="E108" s="6"/>
      <x:c r="F108" s="6"/>
      <x:c r="G108" s="6"/>
    </x:row>
    <x:row r="109">
      <x:c r="A109" s="7"/>
      <x:c r="B109" s="7"/>
      <x:c r="C109" s="6"/>
      <x:c r="D109" s="6"/>
      <x:c r="E109" s="6"/>
      <x:c r="F109" s="6"/>
      <x:c r="G109" s="6"/>
    </x:row>
    <x:row r="110">
      <x:c r="A110" s="7"/>
      <x:c r="B110" s="7"/>
      <x:c r="C110" s="6"/>
      <x:c r="D110" s="6"/>
      <x:c r="E110" s="6"/>
      <x:c r="F110" s="6"/>
      <x:c r="G110" s="6"/>
    </x:row>
    <x:row r="111">
      <x:c r="A111" s="7"/>
      <x:c r="B111" s="7"/>
      <x:c r="C111" s="6"/>
      <x:c r="D111" s="6"/>
      <x:c r="E111" s="6"/>
      <x:c r="F111" s="6"/>
      <x:c r="G111" s="6"/>
    </x:row>
    <x:row r="112">
      <x:c r="A112" s="7"/>
      <x:c r="B112" s="7"/>
      <x:c r="C112" s="6"/>
      <x:c r="D112" s="6"/>
      <x:c r="E112" s="6"/>
      <x:c r="F112" s="6"/>
      <x:c r="G112" s="6"/>
    </x:row>
    <x:row r="113">
      <x:c r="A113" s="7"/>
      <x:c r="B113" s="7"/>
      <x:c r="C113" s="6"/>
      <x:c r="D113" s="6"/>
      <x:c r="E113" s="6"/>
      <x:c r="F113" s="6"/>
      <x:c r="G113" s="6"/>
    </x:row>
    <x:row r="114">
      <x:c r="A114" s="7"/>
      <x:c r="B114" s="7"/>
      <x:c r="C114" s="6"/>
      <x:c r="D114" s="6"/>
      <x:c r="E114" s="6"/>
      <x:c r="F114" s="6"/>
      <x:c r="G114" s="6"/>
    </x:row>
    <x:row r="115">
      <x:c r="A115" s="7"/>
      <x:c r="B115" s="7"/>
      <x:c r="C115" s="6"/>
      <x:c r="D115" s="6"/>
      <x:c r="E115" s="6"/>
      <x:c r="F115" s="6"/>
      <x:c r="G115" s="6"/>
    </x:row>
    <x:row r="116">
      <x:c r="A116" s="7"/>
      <x:c r="B116" s="7"/>
      <x:c r="C116" s="6"/>
      <x:c r="D116" s="6"/>
      <x:c r="E116" s="6"/>
      <x:c r="F116" s="6"/>
      <x:c r="G116" s="6"/>
    </x:row>
    <x:row r="117">
      <x:c r="A117" s="7"/>
      <x:c r="B117" s="7"/>
      <x:c r="C117" s="6"/>
      <x:c r="D117" s="6"/>
      <x:c r="E117" s="6"/>
      <x:c r="F117" s="6"/>
      <x:c r="G117" s="6"/>
    </x:row>
    <x:row r="118">
      <x:c r="A118" s="7"/>
      <x:c r="B118" s="7"/>
      <x:c r="C118" s="6"/>
      <x:c r="D118" s="6"/>
      <x:c r="E118" s="6"/>
      <x:c r="F118" s="6"/>
      <x:c r="G118" s="6"/>
    </x:row>
    <x:row r="119">
      <x:c r="A119" s="7"/>
      <x:c r="B119" s="7"/>
      <x:c r="C119" s="6"/>
      <x:c r="D119" s="6"/>
      <x:c r="E119" s="6"/>
      <x:c r="F119" s="6"/>
      <x:c r="G119" s="6"/>
    </x:row>
    <x:row r="120">
      <x:c r="A120" s="7"/>
      <x:c r="B120" s="7"/>
      <x:c r="C120" s="6"/>
      <x:c r="D120" s="6"/>
      <x:c r="E120" s="6"/>
      <x:c r="F120" s="6"/>
      <x:c r="G120" s="6"/>
    </x:row>
    <x:row r="121">
      <x:c r="A121" s="7"/>
      <x:c r="B121" s="7"/>
      <x:c r="C121" s="6"/>
      <x:c r="D121" s="6"/>
      <x:c r="E121" s="6"/>
      <x:c r="F121" s="6"/>
      <x:c r="G121" s="6"/>
    </x:row>
    <x:row r="122">
      <x:c r="A122" s="7"/>
      <x:c r="B122" s="7"/>
      <x:c r="C122" s="6"/>
      <x:c r="D122" s="6"/>
      <x:c r="E122" s="6"/>
      <x:c r="F122" s="6"/>
      <x:c r="G122" s="6"/>
    </x:row>
    <x:row r="123">
      <x:c r="A123" s="7"/>
      <x:c r="B123" s="7"/>
      <x:c r="C123" s="6"/>
      <x:c r="D123" s="6"/>
      <x:c r="E123" s="6"/>
      <x:c r="F123" s="6"/>
      <x:c r="G123" s="6"/>
    </x:row>
    <x:row r="124">
      <x:c r="A124" s="7"/>
      <x:c r="B124" s="7"/>
      <x:c r="C124" s="6"/>
      <x:c r="D124" s="6"/>
      <x:c r="E124" s="6"/>
      <x:c r="F124" s="6"/>
      <x:c r="G124" s="6"/>
    </x:row>
    <x:row r="125">
      <x:c r="A125" s="7"/>
      <x:c r="B125" s="7"/>
      <x:c r="C125" s="6"/>
      <x:c r="D125" s="6"/>
      <x:c r="E125" s="6"/>
      <x:c r="F125" s="6"/>
      <x:c r="G125" s="6"/>
    </x:row>
    <x:row r="126">
      <x:c r="A126" s="7"/>
      <x:c r="B126" s="7"/>
      <x:c r="C126" s="6"/>
      <x:c r="D126" s="6"/>
      <x:c r="E126" s="6"/>
      <x:c r="F126" s="6"/>
      <x:c r="G126" s="6"/>
    </x:row>
    <x:row r="127">
      <x:c r="A127" s="7"/>
      <x:c r="B127" s="7"/>
      <x:c r="C127" s="6"/>
      <x:c r="D127" s="6"/>
      <x:c r="E127" s="6"/>
      <x:c r="F127" s="6"/>
      <x:c r="G127" s="6"/>
    </x:row>
    <x:row r="128">
      <x:c r="A128" s="7"/>
      <x:c r="B128" s="7"/>
      <x:c r="C128" s="6"/>
      <x:c r="D128" s="6"/>
      <x:c r="E128" s="6"/>
      <x:c r="F128" s="6"/>
      <x:c r="G128" s="6"/>
    </x:row>
    <x:row r="129">
      <x:c r="A129" s="7"/>
      <x:c r="B129" s="7"/>
      <x:c r="C129" s="6"/>
      <x:c r="D129" s="6"/>
      <x:c r="E129" s="6"/>
      <x:c r="F129" s="6"/>
      <x:c r="G129" s="6"/>
    </x:row>
    <x:row r="130">
      <x:c r="A130" s="7"/>
      <x:c r="B130" s="7"/>
      <x:c r="C130" s="6"/>
      <x:c r="D130" s="6"/>
      <x:c r="E130" s="6"/>
      <x:c r="F130" s="6"/>
      <x:c r="G130" s="6"/>
    </x:row>
    <x:row r="131">
      <x:c r="A131" s="7"/>
      <x:c r="B131" s="7"/>
      <x:c r="C131" s="6"/>
      <x:c r="D131" s="6"/>
      <x:c r="E131" s="6"/>
      <x:c r="F131" s="6"/>
      <x:c r="G131" s="6"/>
    </x:row>
    <x:row r="132">
      <x:c r="A132" s="7"/>
      <x:c r="B132" s="7"/>
      <x:c r="C132" s="6"/>
      <x:c r="D132" s="6"/>
      <x:c r="E132" s="6"/>
      <x:c r="F132" s="6"/>
      <x:c r="G132" s="6"/>
    </x:row>
    <x:row r="133">
      <x:c r="A133" s="7"/>
      <x:c r="B133" s="7"/>
      <x:c r="C133" s="6"/>
      <x:c r="D133" s="6"/>
      <x:c r="E133" s="6"/>
      <x:c r="F133" s="6"/>
      <x:c r="G133" s="6"/>
    </x:row>
    <x:row r="134">
      <x:c r="A134" s="7"/>
      <x:c r="B134" s="7"/>
      <x:c r="C134" s="6"/>
      <x:c r="D134" s="6"/>
      <x:c r="E134" s="6"/>
      <x:c r="F134" s="6"/>
      <x:c r="G134" s="6"/>
    </x:row>
    <x:row r="135">
      <x:c r="A135" s="7"/>
      <x:c r="B135" s="7"/>
      <x:c r="C135" s="6"/>
      <x:c r="D135" s="6"/>
      <x:c r="E135" s="6"/>
      <x:c r="F135" s="6"/>
      <x:c r="G135" s="6"/>
    </x:row>
    <x:row r="136">
      <x:c r="A136" s="7"/>
      <x:c r="B136" s="7"/>
      <x:c r="C136" s="6"/>
      <x:c r="D136" s="6"/>
      <x:c r="E136" s="6"/>
      <x:c r="F136" s="6"/>
      <x:c r="G136" s="6"/>
    </x:row>
    <x:row r="137">
      <x:c r="A137" s="7"/>
      <x:c r="B137" s="7"/>
      <x:c r="C137" s="6"/>
      <x:c r="D137" s="6"/>
      <x:c r="E137" s="6"/>
      <x:c r="F137" s="6"/>
      <x:c r="G137" s="6"/>
    </x:row>
    <x:row r="138">
      <x:c r="A138" s="7"/>
      <x:c r="B138" s="7"/>
      <x:c r="C138" s="6"/>
      <x:c r="D138" s="6"/>
      <x:c r="E138" s="6"/>
      <x:c r="F138" s="6"/>
      <x:c r="G138" s="6"/>
    </x:row>
    <x:row r="139">
      <x:c r="A139" s="7"/>
      <x:c r="B139" s="7"/>
      <x:c r="C139" s="6"/>
      <x:c r="D139" s="6"/>
      <x:c r="E139" s="6"/>
      <x:c r="F139" s="6"/>
      <x:c r="G139" s="6"/>
    </x:row>
    <x:row r="140">
      <x:c r="A140" s="7"/>
      <x:c r="B140" s="7"/>
      <x:c r="C140" s="6"/>
      <x:c r="D140" s="6"/>
      <x:c r="E140" s="6"/>
      <x:c r="F140" s="6"/>
      <x:c r="G140" s="6"/>
    </x:row>
    <x:row r="141">
      <x:c r="A141" s="7"/>
      <x:c r="B141" s="7"/>
      <x:c r="C141" s="6"/>
      <x:c r="D141" s="6"/>
      <x:c r="E141" s="6"/>
      <x:c r="F141" s="6"/>
      <x:c r="G141" s="6"/>
    </x:row>
    <x:row r="142">
      <x:c r="A142" s="7"/>
      <x:c r="B142" s="7"/>
      <x:c r="C142" s="6"/>
      <x:c r="D142" s="6"/>
      <x:c r="E142" s="6"/>
      <x:c r="F142" s="6"/>
      <x:c r="G142" s="6"/>
    </x:row>
    <x:row r="143">
      <x:c r="A143" s="7"/>
      <x:c r="B143" s="7"/>
      <x:c r="C143" s="6"/>
      <x:c r="D143" s="6"/>
      <x:c r="E143" s="6"/>
      <x:c r="F143" s="6"/>
      <x:c r="G143" s="6"/>
    </x:row>
    <x:row r="144">
      <x:c r="A144" s="7"/>
      <x:c r="B144" s="7"/>
      <x:c r="C144" s="6"/>
      <x:c r="D144" s="6"/>
      <x:c r="E144" s="6"/>
      <x:c r="F144" s="6"/>
      <x:c r="G144" s="6"/>
    </x:row>
    <x:row r="145">
      <x:c r="A145" s="7"/>
      <x:c r="B145" s="7"/>
      <x:c r="C145" s="6"/>
      <x:c r="D145" s="6"/>
      <x:c r="E145" s="6"/>
      <x:c r="F145" s="6"/>
      <x:c r="G145" s="6"/>
    </x:row>
    <x:row r="146">
      <x:c r="A146" s="7"/>
      <x:c r="B146" s="7"/>
      <x:c r="C146" s="6"/>
      <x:c r="D146" s="6"/>
      <x:c r="E146" s="6"/>
      <x:c r="F146" s="6"/>
      <x:c r="G146" s="6"/>
    </x:row>
    <x:row r="147">
      <x:c r="A147" s="7"/>
      <x:c r="B147" s="7"/>
      <x:c r="C147" s="6"/>
      <x:c r="D147" s="6"/>
      <x:c r="E147" s="6"/>
      <x:c r="F147" s="6"/>
      <x:c r="G147" s="6"/>
    </x:row>
    <x:row r="148">
      <x:c r="A148" s="7"/>
      <x:c r="B148" s="7"/>
      <x:c r="C148" s="6"/>
      <x:c r="D148" s="6"/>
      <x:c r="E148" s="6"/>
      <x:c r="F148" s="6"/>
      <x:c r="G148" s="6"/>
    </x:row>
    <x:row r="149">
      <x:c r="A149" s="7"/>
      <x:c r="B149" s="7"/>
      <x:c r="C149" s="6"/>
      <x:c r="D149" s="6"/>
      <x:c r="E149" s="6"/>
      <x:c r="F149" s="6"/>
      <x:c r="G149" s="6"/>
    </x:row>
    <x:row r="150">
      <x:c r="A150" s="7"/>
      <x:c r="B150" s="7"/>
      <x:c r="C150" s="6"/>
      <x:c r="D150" s="6"/>
      <x:c r="E150" s="6"/>
      <x:c r="F150" s="6"/>
      <x:c r="G150" s="6"/>
    </x:row>
    <x:row r="151">
      <x:c r="A151" s="7"/>
      <x:c r="B151" s="7"/>
      <x:c r="C151" s="6"/>
      <x:c r="D151" s="6"/>
      <x:c r="E151" s="6"/>
      <x:c r="F151" s="6"/>
      <x:c r="G151" s="6"/>
    </x:row>
    <x:row r="152">
      <x:c r="A152" s="7"/>
      <x:c r="B152" s="7"/>
      <x:c r="C152" s="6"/>
      <x:c r="D152" s="6"/>
      <x:c r="E152" s="6"/>
      <x:c r="F152" s="6"/>
      <x:c r="G152" s="6"/>
    </x:row>
    <x:row r="153">
      <x:c r="A153" s="7"/>
      <x:c r="B153" s="7"/>
      <x:c r="C153" s="6"/>
      <x:c r="D153" s="6"/>
      <x:c r="E153" s="6"/>
      <x:c r="F153" s="6"/>
      <x:c r="G153" s="6"/>
    </x:row>
    <x:row r="154">
      <x:c r="A154" s="7"/>
      <x:c r="B154" s="7"/>
      <x:c r="C154" s="6"/>
      <x:c r="D154" s="6"/>
      <x:c r="E154" s="6"/>
      <x:c r="F154" s="6"/>
      <x:c r="G154" s="6"/>
    </x:row>
    <x:row r="155">
      <x:c r="A155" s="7"/>
      <x:c r="B155" s="7"/>
      <x:c r="C155" s="6"/>
      <x:c r="D155" s="6"/>
      <x:c r="E155" s="6"/>
      <x:c r="F155" s="6"/>
      <x:c r="G155" s="6"/>
    </x:row>
    <x:row r="156">
      <x:c r="A156" s="7"/>
      <x:c r="B156" s="7"/>
      <x:c r="C156" s="6"/>
      <x:c r="D156" s="6"/>
      <x:c r="E156" s="6"/>
      <x:c r="F156" s="6"/>
      <x:c r="G156" s="6"/>
    </x:row>
    <x:row r="157">
      <x:c r="A157" s="7"/>
      <x:c r="B157" s="7"/>
      <x:c r="C157" s="6"/>
      <x:c r="D157" s="6"/>
      <x:c r="E157" s="6"/>
      <x:c r="F157" s="6"/>
      <x:c r="G157" s="6"/>
    </x:row>
    <x:row r="158">
      <x:c r="A158" s="7"/>
      <x:c r="B158" s="7"/>
      <x:c r="C158" s="6"/>
      <x:c r="D158" s="6"/>
      <x:c r="E158" s="6"/>
      <x:c r="F158" s="6"/>
      <x:c r="G158" s="6"/>
    </x:row>
    <x:row r="159">
      <x:c r="A159" s="7"/>
      <x:c r="B159" s="7"/>
      <x:c r="C159" s="6"/>
      <x:c r="D159" s="6"/>
      <x:c r="E159" s="6"/>
      <x:c r="F159" s="6"/>
      <x:c r="G159" s="6"/>
    </x:row>
    <x:row r="160">
      <x:c r="A160" s="7"/>
      <x:c r="B160" s="7"/>
      <x:c r="C160" s="6"/>
      <x:c r="D160" s="6"/>
      <x:c r="E160" s="6"/>
      <x:c r="F160" s="6"/>
      <x:c r="G160" s="6"/>
    </x:row>
    <x:row r="161">
      <x:c r="A161" s="7"/>
      <x:c r="B161" s="7"/>
      <x:c r="C161" s="6"/>
      <x:c r="D161" s="6"/>
      <x:c r="E161" s="6"/>
      <x:c r="F161" s="6"/>
      <x:c r="G161" s="6"/>
    </x:row>
    <x:row r="162">
      <x:c r="A162" s="7"/>
      <x:c r="B162" s="7"/>
      <x:c r="C162" s="6"/>
      <x:c r="D162" s="6"/>
      <x:c r="E162" s="6"/>
      <x:c r="F162" s="6"/>
      <x:c r="G162" s="6"/>
    </x:row>
    <x:row r="163">
      <x:c r="A163" s="7"/>
      <x:c r="B163" s="7"/>
      <x:c r="C163" s="6"/>
      <x:c r="D163" s="6"/>
      <x:c r="E163" s="6"/>
      <x:c r="F163" s="6"/>
      <x:c r="G163" s="6"/>
    </x:row>
    <x:row r="164">
      <x:c r="A164" s="7"/>
      <x:c r="B164" s="7"/>
      <x:c r="C164" s="6"/>
      <x:c r="D164" s="6"/>
      <x:c r="E164" s="6"/>
      <x:c r="F164" s="6"/>
      <x:c r="G164" s="6"/>
    </x:row>
    <x:row r="165">
      <x:c r="A165" s="7"/>
      <x:c r="B165" s="7"/>
      <x:c r="C165" s="6"/>
      <x:c r="D165" s="6"/>
      <x:c r="E165" s="6"/>
      <x:c r="F165" s="6"/>
      <x:c r="G165" s="6"/>
    </x:row>
    <x:row r="166">
      <x:c r="A166" s="7"/>
      <x:c r="B166" s="7"/>
      <x:c r="C166" s="6"/>
      <x:c r="D166" s="6"/>
      <x:c r="E166" s="6"/>
      <x:c r="F166" s="6"/>
      <x:c r="G166" s="6"/>
    </x:row>
    <x:row r="167">
      <x:c r="A167" s="7"/>
      <x:c r="B167" s="7"/>
      <x:c r="C167" s="6"/>
      <x:c r="D167" s="6"/>
      <x:c r="E167" s="6"/>
      <x:c r="F167" s="6"/>
      <x:c r="G167" s="6"/>
    </x:row>
    <x:row r="168">
      <x:c r="A168" s="7"/>
      <x:c r="B168" s="7"/>
      <x:c r="C168" s="6"/>
      <x:c r="D168" s="6"/>
      <x:c r="E168" s="6"/>
      <x:c r="F168" s="6"/>
      <x:c r="G168" s="6"/>
    </x:row>
    <x:row r="169">
      <x:c r="A169" s="7"/>
      <x:c r="B169" s="7"/>
      <x:c r="C169" s="6"/>
      <x:c r="D169" s="6"/>
      <x:c r="E169" s="6"/>
      <x:c r="F169" s="6"/>
      <x:c r="G169" s="6"/>
    </x:row>
    <x:row r="170">
      <x:c r="A170" s="7"/>
      <x:c r="B170" s="7"/>
      <x:c r="C170" s="6"/>
      <x:c r="D170" s="6"/>
      <x:c r="E170" s="6"/>
      <x:c r="F170" s="6"/>
      <x:c r="G170" s="6"/>
    </x:row>
    <x:row r="171">
      <x:c r="A171" s="7"/>
      <x:c r="B171" s="7"/>
      <x:c r="C171" s="6"/>
      <x:c r="D171" s="6"/>
      <x:c r="E171" s="6"/>
      <x:c r="F171" s="6"/>
      <x:c r="G171" s="6"/>
    </x:row>
    <x:row r="172">
      <x:c r="A172" s="7"/>
      <x:c r="B172" s="7"/>
      <x:c r="C172" s="6"/>
      <x:c r="D172" s="6"/>
      <x:c r="E172" s="6"/>
      <x:c r="F172" s="6"/>
      <x:c r="G172" s="6"/>
    </x:row>
    <x:row r="173">
      <x:c r="A173" s="7"/>
      <x:c r="B173" s="7"/>
      <x:c r="C173" s="6"/>
      <x:c r="D173" s="6"/>
      <x:c r="E173" s="6"/>
      <x:c r="F173" s="6"/>
      <x:c r="G173" s="6"/>
    </x:row>
    <x:row r="174">
      <x:c r="A174" s="7"/>
      <x:c r="B174" s="7"/>
      <x:c r="C174" s="6"/>
      <x:c r="D174" s="6"/>
      <x:c r="E174" s="6"/>
      <x:c r="F174" s="6"/>
      <x:c r="G174" s="6"/>
    </x:row>
    <x:row r="175">
      <x:c r="A175" s="7"/>
      <x:c r="B175" s="7"/>
      <x:c r="C175" s="6"/>
      <x:c r="D175" s="6"/>
      <x:c r="E175" s="6"/>
      <x:c r="F175" s="6"/>
      <x:c r="G175" s="6"/>
    </x:row>
    <x:row r="176">
      <x:c r="A176" s="7"/>
      <x:c r="B176" s="7"/>
      <x:c r="C176" s="6"/>
      <x:c r="D176" s="6"/>
      <x:c r="E176" s="6"/>
      <x:c r="F176" s="6"/>
      <x:c r="G176" s="6"/>
    </x:row>
    <x:row r="177">
      <x:c r="A177" s="7"/>
      <x:c r="B177" s="7"/>
      <x:c r="C177" s="6"/>
      <x:c r="D177" s="6"/>
      <x:c r="E177" s="6"/>
      <x:c r="F177" s="6"/>
      <x:c r="G177" s="6"/>
    </x:row>
    <x:row r="178">
      <x:c r="A178" s="7"/>
      <x:c r="B178" s="7"/>
      <x:c r="C178" s="6"/>
      <x:c r="D178" s="6"/>
      <x:c r="E178" s="6"/>
      <x:c r="F178" s="6"/>
      <x:c r="G178" s="6"/>
    </x:row>
    <x:row r="179">
      <x:c r="A179" s="7"/>
      <x:c r="B179" s="7"/>
      <x:c r="C179" s="6"/>
      <x:c r="D179" s="6"/>
      <x:c r="E179" s="6"/>
      <x:c r="F179" s="6"/>
      <x:c r="G179" s="6"/>
    </x:row>
    <x:row r="180">
      <x:c r="A180" s="7"/>
      <x:c r="B180" s="7"/>
      <x:c r="C180" s="6"/>
      <x:c r="D180" s="6"/>
      <x:c r="E180" s="6"/>
      <x:c r="F180" s="6"/>
      <x:c r="G180" s="6"/>
    </x:row>
    <x:row r="181">
      <x:c r="A181" s="7"/>
      <x:c r="B181" s="7"/>
      <x:c r="C181" s="6"/>
      <x:c r="D181" s="6"/>
      <x:c r="E181" s="6"/>
      <x:c r="F181" s="6"/>
      <x:c r="G181" s="6"/>
    </x:row>
    <x:row r="182">
      <x:c r="A182" s="7"/>
      <x:c r="B182" s="7"/>
      <x:c r="C182" s="6"/>
      <x:c r="D182" s="6"/>
      <x:c r="E182" s="6"/>
      <x:c r="F182" s="6"/>
      <x:c r="G182" s="6"/>
    </x:row>
    <x:row r="183">
      <x:c r="A183" s="7"/>
      <x:c r="B183" s="7"/>
      <x:c r="C183" s="6"/>
      <x:c r="D183" s="6"/>
      <x:c r="E183" s="6"/>
      <x:c r="F183" s="6"/>
      <x:c r="G183" s="6"/>
    </x:row>
    <x:row r="184">
      <x:c r="A184" s="7"/>
      <x:c r="B184" s="7"/>
      <x:c r="C184" s="6"/>
      <x:c r="D184" s="6"/>
      <x:c r="E184" s="6"/>
      <x:c r="F184" s="6"/>
      <x:c r="G184" s="6"/>
    </x:row>
    <x:row r="185">
      <x:c r="A185" s="7"/>
      <x:c r="B185" s="7"/>
      <x:c r="C185" s="6"/>
      <x:c r="D185" s="6"/>
      <x:c r="E185" s="6"/>
      <x:c r="F185" s="6"/>
      <x:c r="G185" s="6"/>
    </x:row>
    <x:row r="186">
      <x:c r="A186" s="7"/>
      <x:c r="B186" s="7"/>
      <x:c r="C186" s="6"/>
      <x:c r="D186" s="6"/>
      <x:c r="E186" s="6"/>
      <x:c r="F186" s="6"/>
      <x:c r="G186" s="6"/>
    </x:row>
    <x:row r="187">
      <x:c r="A187" s="7"/>
      <x:c r="B187" s="7"/>
      <x:c r="C187" s="6"/>
      <x:c r="D187" s="6"/>
      <x:c r="E187" s="6"/>
      <x:c r="F187" s="6"/>
      <x:c r="G187" s="6"/>
    </x:row>
    <x:row r="188">
      <x:c r="A188" s="7"/>
      <x:c r="B188" s="7"/>
      <x:c r="C188" s="6"/>
      <x:c r="D188" s="6"/>
      <x:c r="E188" s="6"/>
      <x:c r="F188" s="6"/>
      <x:c r="G188" s="6"/>
    </x:row>
    <x:row r="189">
      <x:c r="A189" s="7"/>
      <x:c r="B189" s="7"/>
      <x:c r="C189" s="6"/>
      <x:c r="D189" s="6"/>
      <x:c r="E189" s="6"/>
      <x:c r="F189" s="6"/>
      <x:c r="G189" s="6"/>
    </x:row>
    <x:row r="190">
      <x:c r="A190" s="7"/>
      <x:c r="B190" s="7"/>
      <x:c r="C190" s="6"/>
      <x:c r="D190" s="6"/>
      <x:c r="E190" s="6"/>
      <x:c r="F190" s="6"/>
      <x:c r="G190" s="6"/>
    </x:row>
    <x:row r="191">
      <x:c r="A191" s="7"/>
      <x:c r="B191" s="7"/>
      <x:c r="C191" s="6"/>
      <x:c r="D191" s="6"/>
      <x:c r="E191" s="6"/>
      <x:c r="F191" s="6"/>
      <x:c r="G191" s="6"/>
    </x:row>
    <x:row r="192">
      <x:c r="A192" s="7"/>
      <x:c r="B192" s="7"/>
      <x:c r="C192" s="6"/>
      <x:c r="D192" s="6"/>
      <x:c r="E192" s="6"/>
      <x:c r="F192" s="6"/>
      <x:c r="G192" s="6"/>
    </x:row>
    <x:row r="193">
      <x:c r="A193" s="7"/>
      <x:c r="B193" s="7"/>
      <x:c r="C193" s="6"/>
      <x:c r="D193" s="6"/>
      <x:c r="E193" s="6"/>
      <x:c r="F193" s="6"/>
      <x:c r="G193" s="6"/>
    </x:row>
    <x:row r="194">
      <x:c r="A194" s="7"/>
      <x:c r="B194" s="7"/>
      <x:c r="C194" s="6"/>
      <x:c r="D194" s="6"/>
      <x:c r="E194" s="6"/>
      <x:c r="F194" s="6"/>
      <x:c r="G194" s="6"/>
    </x:row>
    <x:row r="195">
      <x:c r="A195" s="7"/>
      <x:c r="B195" s="7"/>
      <x:c r="C195" s="6"/>
      <x:c r="D195" s="6"/>
      <x:c r="E195" s="6"/>
      <x:c r="F195" s="6"/>
      <x:c r="G195" s="6"/>
    </x:row>
    <x:row r="196">
      <x:c r="A196" s="7"/>
      <x:c r="B196" s="7"/>
      <x:c r="C196" s="6"/>
      <x:c r="D196" s="6"/>
      <x:c r="E196" s="6"/>
      <x:c r="F196" s="6"/>
      <x:c r="G196" s="6"/>
    </x:row>
    <x:row r="197">
      <x:c r="A197" s="7"/>
      <x:c r="B197" s="7"/>
      <x:c r="C197" s="6"/>
      <x:c r="D197" s="6"/>
      <x:c r="E197" s="6"/>
      <x:c r="F197" s="6"/>
      <x:c r="G197" s="6"/>
    </x:row>
    <x:row r="198">
      <x:c r="A198" s="7"/>
      <x:c r="B198" s="7"/>
      <x:c r="C198" s="6"/>
      <x:c r="D198" s="6"/>
      <x:c r="E198" s="6"/>
      <x:c r="F198" s="6"/>
      <x:c r="G198" s="6"/>
    </x:row>
    <x:row r="199">
      <x:c r="A199" s="7"/>
      <x:c r="B199" s="7"/>
      <x:c r="C199" s="6"/>
      <x:c r="D199" s="6"/>
      <x:c r="E199" s="6"/>
      <x:c r="F199" s="6"/>
      <x:c r="G199" s="6"/>
    </x:row>
    <x:row r="200">
      <x:c r="A200" s="7"/>
      <x:c r="B200" s="7"/>
      <x:c r="C200" s="6"/>
      <x:c r="D200" s="6"/>
      <x:c r="E200" s="6"/>
      <x:c r="F200" s="6"/>
      <x:c r="G200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8" hidden="0" customWidth="1"/>
    <x:col min="4" max="4" width="20" hidden="0" customWidth="1"/>
    <x:col min="5" max="5" width="14" hidden="0" customWidth="1"/>
    <x:col min="6" max="6" width="22" hidden="0" customWidth="1"/>
    <x:col min="7" max="7" width="70" hidden="0" customWidth="1"/>
  </x:cols>
  <x:sheetData>
    <x:row r="1" ht="25" customHeight="1">
      <x:c r="A1" s="7"/>
      <x:c r="B1" s="7"/>
      <x:c r="C1" s="4" t="str">
        <x:v>Asset-heavy issuer and project screen</x:v>
      </x:c>
      <x:c r="D1" s="4"/>
      <x:c r="E1" s="4"/>
      <x:c r="F1" s="4"/>
      <x:c r="G1" s="4"/>
      <x:c r="H1" s="4"/>
    </x:row>
    <x:row r="2">
      <x:c r="A2" s="7"/>
      <x:c r="B2" s="7"/>
      <x:c r="C2" s="5" t="str">
        <x:v>Equinix FY2025 filed measures are shown separately from a fictional project example. Do not treat issuer-defined recurring capex as a full maintenance estimate.</x:v>
      </x:c>
      <x:c r="D2" s="5"/>
      <x:c r="E2" s="5"/>
      <x:c r="F2" s="5"/>
      <x:c r="G2" s="5"/>
      <x:c r="H2" s="5"/>
    </x:row>
    <x:row r="3">
      <x:c r="A3" s="7"/>
      <x:c r="B3" s="7"/>
      <x:c r="C3" s="6"/>
      <x:c r="D3" s="6"/>
      <x:c r="E3" s="6"/>
      <x:c r="F3" s="6"/>
      <x:c r="G3" s="6"/>
      <x:c r="H3" s="6"/>
    </x:row>
    <x:row r="4">
      <x:c r="A4" s="7"/>
      <x:c r="B4" s="7"/>
      <x:c r="C4" s="6"/>
      <x:c r="D4" s="6"/>
      <x:c r="E4" s="6"/>
      <x:c r="F4" s="6"/>
      <x:c r="G4" s="6"/>
      <x:c r="H4" s="6"/>
    </x:row>
    <x:row r="5" ht="30" customHeight="1">
      <x:c r="A5" s="7"/>
      <x:c r="B5" s="7"/>
      <x:c r="C5" s="22" t="str">
        <x:v>Reported item</x:v>
      </x:c>
      <x:c r="D5" s="22" t="str">
        <x:v>Value</x:v>
      </x:c>
      <x:c r="E5" s="22" t="str">
        <x:v>Unit</x:v>
      </x:c>
      <x:c r="F5" s="22" t="str">
        <x:v>Source ID</x:v>
      </x:c>
      <x:c r="G5" s="22" t="str">
        <x:v>Interpretation</x:v>
      </x:c>
      <x:c r="H5" s="6"/>
    </x:row>
    <x:row r="6">
      <x:c r="A6" s="7"/>
      <x:c r="B6" s="7"/>
      <x:c r="C6" s="40" t="str">
        <x:v>Property, plant and equipment</x:v>
      </x:c>
      <x:c r="D6" s="55" t="n">
        <x:v>23.6</x:v>
      </x:c>
      <x:c r="E6" s="24" t="str">
        <x:v>USD bn</x:v>
      </x:c>
      <x:c r="F6" s="24" t="str">
        <x:v>EQX-10K</x:v>
      </x:c>
      <x:c r="G6" s="40" t="str">
        <x:v>Year-end book balance</x:v>
      </x:c>
      <x:c r="H6" s="6"/>
    </x:row>
    <x:row r="7">
      <x:c r="A7" s="7"/>
      <x:c r="B7" s="7"/>
      <x:c r="C7" s="41" t="str">
        <x:v>Depreciation expense</x:v>
      </x:c>
      <x:c r="D7" s="56" t="n">
        <x:v>1.9</x:v>
      </x:c>
      <x:c r="E7" s="25" t="str">
        <x:v>USD bn</x:v>
      </x:c>
      <x:c r="F7" s="25" t="str">
        <x:v>EQX-10K</x:v>
      </x:c>
      <x:c r="G7" s="41" t="str">
        <x:v>Multiple asset classes and useful lives</x:v>
      </x:c>
      <x:c r="H7" s="6"/>
    </x:row>
    <x:row r="8">
      <x:c r="A8" s="7"/>
      <x:c r="B8" s="7"/>
      <x:c r="C8" s="42" t="str">
        <x:v>Issuer-defined recurring capex</x:v>
      </x:c>
      <x:c r="D8" s="57" t="n">
        <x:v>0.284</x:v>
      </x:c>
      <x:c r="E8" s="26" t="str">
        <x:v>USD bn</x:v>
      </x:c>
      <x:c r="F8" s="26" t="str">
        <x:v>EQX-10K</x:v>
      </x:c>
      <x:c r="G8" s="42" t="str">
        <x:v>Company measure; confirm reconciliation and asset scope</x:v>
      </x:c>
      <x:c r="H8" s="6"/>
    </x:row>
    <x:row r="9">
      <x:c r="A9" s="7"/>
      <x:c r="B9" s="7"/>
      <x:c r="C9" s="6"/>
      <x:c r="D9" s="6"/>
      <x:c r="E9" s="6"/>
      <x:c r="F9" s="6"/>
      <x:c r="G9" s="6"/>
      <x:c r="H9" s="6"/>
    </x:row>
    <x:row r="10">
      <x:c r="A10" s="7"/>
      <x:c r="B10" s="7"/>
      <x:c r="C10" s="6"/>
      <x:c r="D10" s="6"/>
      <x:c r="E10" s="6"/>
      <x:c r="F10" s="6"/>
      <x:c r="G10" s="6"/>
      <x:c r="H10" s="6"/>
    </x:row>
    <x:row r="11">
      <x:c r="A11" s="7"/>
      <x:c r="B11" s="7"/>
      <x:c r="C11" s="12" t="str">
        <x:v>Fictional project screen — KES millions</x:v>
      </x:c>
      <x:c r="D11" s="12"/>
      <x:c r="E11" s="12"/>
      <x:c r="F11" s="12"/>
      <x:c r="G11" s="12"/>
      <x:c r="H11" s="12"/>
    </x:row>
    <x:row r="12" ht="30" customHeight="1">
      <x:c r="A12" s="7"/>
      <x:c r="B12" s="7"/>
      <x:c r="C12" s="22" t="str">
        <x:v>Input / output</x:v>
      </x:c>
      <x:c r="D12" s="22" t="str">
        <x:v>Amount</x:v>
      </x:c>
      <x:c r="E12" s="22" t="str">
        <x:v>Unit</x:v>
      </x:c>
      <x:c r="F12" s="22" t="str">
        <x:v>Evidence state</x:v>
      </x:c>
      <x:c r="G12" s="22" t="str">
        <x:v>Calculation note</x:v>
      </x:c>
      <x:c r="H12" s="6"/>
    </x:row>
    <x:row r="13">
      <x:c r="A13" s="7"/>
      <x:c r="B13" s="7"/>
      <x:c r="C13" s="40" t="str">
        <x:v>Project cash cost</x:v>
      </x:c>
      <x:c r="D13" s="32" t="n">
        <x:v>10000</x:v>
      </x:c>
      <x:c r="E13" s="24" t="str">
        <x:v>KES m</x:v>
      </x:c>
      <x:c r="F13" s="24" t="str">
        <x:v>Illustrative input</x:v>
      </x:c>
      <x:c r="G13" s="40" t="str">
        <x:v>Not an issuer figure</x:v>
      </x:c>
      <x:c r="H13" s="6"/>
    </x:row>
    <x:row r="14">
      <x:c r="A14" s="7"/>
      <x:c r="B14" s="7"/>
      <x:c r="C14" s="41" t="str">
        <x:v>Stabilized annual revenue</x:v>
      </x:c>
      <x:c r="D14" s="33" t="n">
        <x:v>1800</x:v>
      </x:c>
      <x:c r="E14" s="25" t="str">
        <x:v>KES m</x:v>
      </x:c>
      <x:c r="F14" s="25" t="str">
        <x:v>Illustrative input</x:v>
      </x:c>
      <x:c r="G14" s="41" t="str">
        <x:v>Assumed project case</x:v>
      </x:c>
      <x:c r="H14" s="6"/>
    </x:row>
    <x:row r="15">
      <x:c r="A15" s="7"/>
      <x:c r="B15" s="7"/>
      <x:c r="C15" s="41" t="str">
        <x:v>Cash operating cost</x:v>
      </x:c>
      <x:c r="D15" s="33" t="n">
        <x:v>800</x:v>
      </x:c>
      <x:c r="E15" s="25" t="str">
        <x:v>KES m</x:v>
      </x:c>
      <x:c r="F15" s="25" t="str">
        <x:v>Illustrative input</x:v>
      </x:c>
      <x:c r="G15" s="41" t="str">
        <x:v>Before financing and tax</x:v>
      </x:c>
      <x:c r="H15" s="6"/>
    </x:row>
    <x:row r="16">
      <x:c r="A16" s="7"/>
      <x:c r="B16" s="7"/>
      <x:c r="C16" s="41" t="str">
        <x:v>Annual renewal spend</x:v>
      </x:c>
      <x:c r="D16" s="33" t="n">
        <x:v>150</x:v>
      </x:c>
      <x:c r="E16" s="25" t="str">
        <x:v>KES m</x:v>
      </x:c>
      <x:c r="F16" s="25" t="str">
        <x:v>Illustrative input</x:v>
      </x:c>
      <x:c r="G16" s="41" t="str">
        <x:v>After stabilization</x:v>
      </x:c>
      <x:c r="H16" s="6"/>
    </x:row>
    <x:row r="17">
      <x:c r="A17" s="7"/>
      <x:c r="B17" s="7"/>
      <x:c r="C17" s="66" t="str">
        <x:v>Stabilized cash contribution</x:v>
      </x:c>
      <x:c r="D17" s="67" t="n">
        <x:f>D14-D15-D16</x:f>
        <x:v>850</x:v>
      </x:c>
      <x:c r="E17" s="68" t="str">
        <x:v>KES m</x:v>
      </x:c>
      <x:c r="F17" s="68" t="str">
        <x:v>Calculated</x:v>
      </x:c>
      <x:c r="G17" s="66" t="str">
        <x:v>Revenue less operating cost and renewal</x:v>
      </x:c>
      <x:c r="H17" s="6"/>
    </x:row>
    <x:row r="18">
      <x:c r="A18" s="7"/>
      <x:c r="B18" s="7"/>
      <x:c r="C18" s="69" t="str">
        <x:v>Simple stabilized cash yield</x:v>
      </x:c>
      <x:c r="D18" s="70" t="n">
        <x:f>IF(D13=0,"",D17/D13)</x:f>
        <x:v>0.085</x:v>
      </x:c>
      <x:c r="E18" s="71" t="str">
        <x:v>%</x:v>
      </x:c>
      <x:c r="F18" s="71" t="str">
        <x:v>Calculated</x:v>
      </x:c>
      <x:c r="G18" s="69" t="str">
        <x:v>Not project IRR; excludes build timing and financing</x:v>
      </x:c>
      <x:c r="H18" s="6"/>
    </x:row>
    <x:row r="19">
      <x:c r="A19" s="7"/>
      <x:c r="B19" s="7"/>
      <x:c r="C19" s="6"/>
      <x:c r="D19" s="6"/>
      <x:c r="E19" s="6"/>
      <x:c r="F19" s="6"/>
      <x:c r="G19" s="6"/>
      <x:c r="H19" s="6"/>
    </x:row>
    <x:row r="20">
      <x:c r="A20" s="7"/>
      <x:c r="B20" s="7"/>
      <x:c r="C20" s="6"/>
      <x:c r="D20" s="6"/>
      <x:c r="E20" s="6"/>
      <x:c r="F20" s="6"/>
      <x:c r="G20" s="6"/>
      <x:c r="H20" s="6"/>
    </x:row>
    <x:row r="21">
      <x:c r="A21" s="7"/>
      <x:c r="B21" s="7"/>
      <x:c r="C21" s="6"/>
      <x:c r="D21" s="6"/>
      <x:c r="E21" s="6"/>
      <x:c r="F21" s="6"/>
      <x:c r="G21" s="6"/>
      <x:c r="H21" s="6"/>
    </x:row>
    <x:row r="22">
      <x:c r="A22" s="7"/>
      <x:c r="B22" s="7"/>
      <x:c r="C22" s="6"/>
      <x:c r="D22" s="6"/>
      <x:c r="E22" s="6"/>
      <x:c r="F22" s="6"/>
      <x:c r="G22" s="6"/>
      <x:c r="H22" s="6"/>
    </x:row>
    <x:row r="23">
      <x:c r="A23" s="7"/>
      <x:c r="B23" s="7"/>
      <x:c r="C23" s="6"/>
      <x:c r="D23" s="6"/>
      <x:c r="E23" s="6"/>
      <x:c r="F23" s="6"/>
      <x:c r="G23" s="6"/>
      <x:c r="H23" s="6"/>
    </x:row>
    <x:row r="24">
      <x:c r="A24" s="7"/>
      <x:c r="B24" s="7"/>
      <x:c r="C24" s="6"/>
      <x:c r="D24" s="6"/>
      <x:c r="E24" s="6"/>
      <x:c r="F24" s="6"/>
      <x:c r="G24" s="6"/>
      <x:c r="H24" s="6"/>
    </x:row>
    <x:row r="25">
      <x:c r="A25" s="7"/>
      <x:c r="B25" s="7"/>
      <x:c r="C25" s="6"/>
      <x:c r="D25" s="6"/>
      <x:c r="E25" s="6"/>
      <x:c r="F25" s="6"/>
      <x:c r="G25" s="6"/>
      <x:c r="H25" s="6"/>
    </x:row>
    <x:row r="26">
      <x:c r="A26" s="7"/>
      <x:c r="B26" s="7"/>
      <x:c r="C26" s="6"/>
      <x:c r="D26" s="6"/>
      <x:c r="E26" s="6"/>
      <x:c r="F26" s="6"/>
      <x:c r="G26" s="6"/>
      <x:c r="H26" s="6"/>
    </x:row>
    <x:row r="27">
      <x:c r="A27" s="7"/>
      <x:c r="B27" s="7"/>
      <x:c r="C27" s="6"/>
      <x:c r="D27" s="6"/>
      <x:c r="E27" s="6"/>
      <x:c r="F27" s="6"/>
      <x:c r="G27" s="6"/>
      <x:c r="H27" s="6"/>
    </x:row>
    <x:row r="28">
      <x:c r="A28" s="7"/>
      <x:c r="B28" s="7"/>
      <x:c r="C28" s="6"/>
      <x:c r="D28" s="6"/>
      <x:c r="E28" s="6"/>
      <x:c r="F28" s="6"/>
      <x:c r="G28" s="6"/>
      <x:c r="H28" s="6"/>
    </x:row>
    <x:row r="29">
      <x:c r="A29" s="7"/>
      <x:c r="B29" s="7"/>
      <x:c r="C29" s="6"/>
      <x:c r="D29" s="6"/>
      <x:c r="E29" s="6"/>
      <x:c r="F29" s="6"/>
      <x:c r="G29" s="6"/>
      <x:c r="H29" s="6"/>
    </x:row>
    <x:row r="30">
      <x:c r="A30" s="7"/>
      <x:c r="B30" s="7"/>
      <x:c r="C30" s="6"/>
      <x:c r="D30" s="6"/>
      <x:c r="E30" s="6"/>
      <x:c r="F30" s="6"/>
      <x:c r="G30" s="6"/>
      <x:c r="H30" s="6"/>
    </x:row>
    <x:row r="31">
      <x:c r="A31" s="7"/>
      <x:c r="B31" s="7"/>
      <x:c r="C31" s="6"/>
      <x:c r="D31" s="6"/>
      <x:c r="E31" s="6"/>
      <x:c r="F31" s="6"/>
      <x:c r="G31" s="6"/>
      <x:c r="H31" s="6"/>
    </x:row>
    <x:row r="32">
      <x:c r="A32" s="7"/>
      <x:c r="B32" s="7"/>
      <x:c r="C32" s="6"/>
      <x:c r="D32" s="6"/>
      <x:c r="E32" s="6"/>
      <x:c r="F32" s="6"/>
      <x:c r="G32" s="6"/>
      <x:c r="H32" s="6"/>
    </x:row>
    <x:row r="33">
      <x:c r="A33" s="7"/>
      <x:c r="B33" s="7"/>
      <x:c r="C33" s="6"/>
      <x:c r="D33" s="6"/>
      <x:c r="E33" s="6"/>
      <x:c r="F33" s="6"/>
      <x:c r="G33" s="6"/>
      <x:c r="H33" s="6"/>
    </x:row>
    <x:row r="34">
      <x:c r="A34" s="7"/>
      <x:c r="B34" s="7"/>
      <x:c r="C34" s="6"/>
      <x:c r="D34" s="6"/>
      <x:c r="E34" s="6"/>
      <x:c r="F34" s="6"/>
      <x:c r="G34" s="6"/>
      <x:c r="H34" s="6"/>
    </x:row>
    <x:row r="35">
      <x:c r="A35" s="7"/>
      <x:c r="B35" s="7"/>
      <x:c r="C35" s="6"/>
      <x:c r="D35" s="6"/>
      <x:c r="E35" s="6"/>
      <x:c r="F35" s="6"/>
      <x:c r="G35" s="6"/>
      <x:c r="H35" s="6"/>
    </x:row>
    <x:row r="36">
      <x:c r="A36" s="7"/>
      <x:c r="B36" s="7"/>
      <x:c r="C36" s="6"/>
      <x:c r="D36" s="6"/>
      <x:c r="E36" s="6"/>
      <x:c r="F36" s="6"/>
      <x:c r="G36" s="6"/>
      <x:c r="H36" s="6"/>
    </x:row>
    <x:row r="37">
      <x:c r="A37" s="7"/>
      <x:c r="B37" s="7"/>
      <x:c r="C37" s="6"/>
      <x:c r="D37" s="6"/>
      <x:c r="E37" s="6"/>
      <x:c r="F37" s="6"/>
      <x:c r="G37" s="6"/>
      <x:c r="H37" s="6"/>
    </x:row>
    <x:row r="38">
      <x:c r="A38" s="7"/>
      <x:c r="B38" s="7"/>
      <x:c r="C38" s="6"/>
      <x:c r="D38" s="6"/>
      <x:c r="E38" s="6"/>
      <x:c r="F38" s="6"/>
      <x:c r="G38" s="6"/>
      <x:c r="H38" s="6"/>
    </x:row>
    <x:row r="39">
      <x:c r="A39" s="7"/>
      <x:c r="B39" s="7"/>
      <x:c r="C39" s="6"/>
      <x:c r="D39" s="6"/>
      <x:c r="E39" s="6"/>
      <x:c r="F39" s="6"/>
      <x:c r="G39" s="6"/>
      <x:c r="H39" s="6"/>
    </x:row>
    <x:row r="40">
      <x:c r="A40" s="7"/>
      <x:c r="B40" s="7"/>
      <x:c r="C40" s="6"/>
      <x:c r="D40" s="6"/>
      <x:c r="E40" s="6"/>
      <x:c r="F40" s="6"/>
      <x:c r="G40" s="6"/>
      <x:c r="H40" s="6"/>
    </x:row>
    <x:row r="41">
      <x:c r="A41" s="7"/>
      <x:c r="B41" s="7"/>
      <x:c r="C41" s="6"/>
      <x:c r="D41" s="6"/>
      <x:c r="E41" s="6"/>
      <x:c r="F41" s="6"/>
      <x:c r="G41" s="6"/>
      <x:c r="H41" s="6"/>
    </x:row>
    <x:row r="42">
      <x:c r="A42" s="7"/>
      <x:c r="B42" s="7"/>
      <x:c r="C42" s="6"/>
      <x:c r="D42" s="6"/>
      <x:c r="E42" s="6"/>
      <x:c r="F42" s="6"/>
      <x:c r="G42" s="6"/>
      <x:c r="H42" s="6"/>
    </x:row>
    <x:row r="43">
      <x:c r="A43" s="7"/>
      <x:c r="B43" s="7"/>
      <x:c r="C43" s="6"/>
      <x:c r="D43" s="6"/>
      <x:c r="E43" s="6"/>
      <x:c r="F43" s="6"/>
      <x:c r="G43" s="6"/>
      <x:c r="H43" s="6"/>
    </x:row>
    <x:row r="44">
      <x:c r="A44" s="7"/>
      <x:c r="B44" s="7"/>
      <x:c r="C44" s="6"/>
      <x:c r="D44" s="6"/>
      <x:c r="E44" s="6"/>
      <x:c r="F44" s="6"/>
      <x:c r="G44" s="6"/>
      <x:c r="H44" s="6"/>
    </x:row>
    <x:row r="45">
      <x:c r="A45" s="7"/>
      <x:c r="B45" s="7"/>
      <x:c r="C45" s="6"/>
      <x:c r="D45" s="6"/>
      <x:c r="E45" s="6"/>
      <x:c r="F45" s="6"/>
      <x:c r="G45" s="6"/>
      <x:c r="H45" s="6"/>
    </x:row>
    <x:row r="46">
      <x:c r="A46" s="7"/>
      <x:c r="B46" s="7"/>
      <x:c r="C46" s="6"/>
      <x:c r="D46" s="6"/>
      <x:c r="E46" s="6"/>
      <x:c r="F46" s="6"/>
      <x:c r="G46" s="6"/>
      <x:c r="H46" s="6"/>
    </x:row>
    <x:row r="47">
      <x:c r="A47" s="7"/>
      <x:c r="B47" s="7"/>
      <x:c r="C47" s="6"/>
      <x:c r="D47" s="6"/>
      <x:c r="E47" s="6"/>
      <x:c r="F47" s="6"/>
      <x:c r="G47" s="6"/>
      <x:c r="H47" s="6"/>
    </x:row>
    <x:row r="48">
      <x:c r="A48" s="7"/>
      <x:c r="B48" s="7"/>
      <x:c r="C48" s="6"/>
      <x:c r="D48" s="6"/>
      <x:c r="E48" s="6"/>
      <x:c r="F48" s="6"/>
      <x:c r="G48" s="6"/>
      <x:c r="H48" s="6"/>
    </x:row>
    <x:row r="49">
      <x:c r="A49" s="7"/>
      <x:c r="B49" s="7"/>
      <x:c r="C49" s="6"/>
      <x:c r="D49" s="6"/>
      <x:c r="E49" s="6"/>
      <x:c r="F49" s="6"/>
      <x:c r="G49" s="6"/>
      <x:c r="H49" s="6"/>
    </x:row>
    <x:row r="50">
      <x:c r="A50" s="7"/>
      <x:c r="B50" s="7"/>
      <x:c r="C50" s="6"/>
      <x:c r="D50" s="6"/>
      <x:c r="E50" s="6"/>
      <x:c r="F50" s="6"/>
      <x:c r="G50" s="6"/>
      <x:c r="H50" s="6"/>
    </x:row>
    <x:row r="51">
      <x:c r="A51" s="7"/>
      <x:c r="B51" s="7"/>
      <x:c r="C51" s="6"/>
      <x:c r="D51" s="6"/>
      <x:c r="E51" s="6"/>
      <x:c r="F51" s="6"/>
      <x:c r="G51" s="6"/>
      <x:c r="H51" s="6"/>
    </x:row>
    <x:row r="52">
      <x:c r="A52" s="7"/>
      <x:c r="B52" s="7"/>
      <x:c r="C52" s="6"/>
      <x:c r="D52" s="6"/>
      <x:c r="E52" s="6"/>
      <x:c r="F52" s="6"/>
      <x:c r="G52" s="6"/>
      <x:c r="H52" s="6"/>
    </x:row>
    <x:row r="53">
      <x:c r="A53" s="7"/>
      <x:c r="B53" s="7"/>
      <x:c r="C53" s="6"/>
      <x:c r="D53" s="6"/>
      <x:c r="E53" s="6"/>
      <x:c r="F53" s="6"/>
      <x:c r="G53" s="6"/>
      <x:c r="H53" s="6"/>
    </x:row>
    <x:row r="54">
      <x:c r="A54" s="7"/>
      <x:c r="B54" s="7"/>
      <x:c r="C54" s="6"/>
      <x:c r="D54" s="6"/>
      <x:c r="E54" s="6"/>
      <x:c r="F54" s="6"/>
      <x:c r="G54" s="6"/>
      <x:c r="H54" s="6"/>
    </x:row>
    <x:row r="55">
      <x:c r="A55" s="7"/>
      <x:c r="B55" s="7"/>
      <x:c r="C55" s="6"/>
      <x:c r="D55" s="6"/>
      <x:c r="E55" s="6"/>
      <x:c r="F55" s="6"/>
      <x:c r="G55" s="6"/>
      <x:c r="H55" s="6"/>
    </x:row>
    <x:row r="56">
      <x:c r="A56" s="7"/>
      <x:c r="B56" s="7"/>
      <x:c r="C56" s="6"/>
      <x:c r="D56" s="6"/>
      <x:c r="E56" s="6"/>
      <x:c r="F56" s="6"/>
      <x:c r="G56" s="6"/>
      <x:c r="H56" s="6"/>
    </x:row>
    <x:row r="57">
      <x:c r="A57" s="7"/>
      <x:c r="B57" s="7"/>
      <x:c r="C57" s="6"/>
      <x:c r="D57" s="6"/>
      <x:c r="E57" s="6"/>
      <x:c r="F57" s="6"/>
      <x:c r="G57" s="6"/>
      <x:c r="H57" s="6"/>
    </x:row>
    <x:row r="58">
      <x:c r="A58" s="7"/>
      <x:c r="B58" s="7"/>
      <x:c r="C58" s="6"/>
      <x:c r="D58" s="6"/>
      <x:c r="E58" s="6"/>
      <x:c r="F58" s="6"/>
      <x:c r="G58" s="6"/>
      <x:c r="H58" s="6"/>
    </x:row>
    <x:row r="59">
      <x:c r="A59" s="7"/>
      <x:c r="B59" s="7"/>
      <x:c r="C59" s="6"/>
      <x:c r="D59" s="6"/>
      <x:c r="E59" s="6"/>
      <x:c r="F59" s="6"/>
      <x:c r="G59" s="6"/>
      <x:c r="H59" s="6"/>
    </x:row>
    <x:row r="60">
      <x:c r="A60" s="7"/>
      <x:c r="B60" s="7"/>
      <x:c r="C60" s="6"/>
      <x:c r="D60" s="6"/>
      <x:c r="E60" s="6"/>
      <x:c r="F60" s="6"/>
      <x:c r="G60" s="6"/>
      <x:c r="H60" s="6"/>
    </x:row>
    <x:row r="61">
      <x:c r="A61" s="7"/>
      <x:c r="B61" s="7"/>
      <x:c r="C61" s="6"/>
      <x:c r="D61" s="6"/>
      <x:c r="E61" s="6"/>
      <x:c r="F61" s="6"/>
      <x:c r="G61" s="6"/>
      <x:c r="H61" s="6"/>
    </x:row>
    <x:row r="62">
      <x:c r="A62" s="7"/>
      <x:c r="B62" s="7"/>
      <x:c r="C62" s="6"/>
      <x:c r="D62" s="6"/>
      <x:c r="E62" s="6"/>
      <x:c r="F62" s="6"/>
      <x:c r="G62" s="6"/>
      <x:c r="H62" s="6"/>
    </x:row>
    <x:row r="63">
      <x:c r="A63" s="7"/>
      <x:c r="B63" s="7"/>
      <x:c r="C63" s="6"/>
      <x:c r="D63" s="6"/>
      <x:c r="E63" s="6"/>
      <x:c r="F63" s="6"/>
      <x:c r="G63" s="6"/>
      <x:c r="H63" s="6"/>
    </x:row>
    <x:row r="64">
      <x:c r="A64" s="7"/>
      <x:c r="B64" s="7"/>
      <x:c r="C64" s="6"/>
      <x:c r="D64" s="6"/>
      <x:c r="E64" s="6"/>
      <x:c r="F64" s="6"/>
      <x:c r="G64" s="6"/>
      <x:c r="H64" s="6"/>
    </x:row>
    <x:row r="65">
      <x:c r="A65" s="7"/>
      <x:c r="B65" s="7"/>
      <x:c r="C65" s="6"/>
      <x:c r="D65" s="6"/>
      <x:c r="E65" s="6"/>
      <x:c r="F65" s="6"/>
      <x:c r="G65" s="6"/>
      <x:c r="H65" s="6"/>
    </x:row>
    <x:row r="66">
      <x:c r="A66" s="7"/>
      <x:c r="B66" s="7"/>
      <x:c r="C66" s="6"/>
      <x:c r="D66" s="6"/>
      <x:c r="E66" s="6"/>
      <x:c r="F66" s="6"/>
      <x:c r="G66" s="6"/>
      <x:c r="H66" s="6"/>
    </x:row>
    <x:row r="67">
      <x:c r="A67" s="7"/>
      <x:c r="B67" s="7"/>
      <x:c r="C67" s="6"/>
      <x:c r="D67" s="6"/>
      <x:c r="E67" s="6"/>
      <x:c r="F67" s="6"/>
      <x:c r="G67" s="6"/>
      <x:c r="H67" s="6"/>
    </x:row>
    <x:row r="68">
      <x:c r="A68" s="7"/>
      <x:c r="B68" s="7"/>
      <x:c r="C68" s="6"/>
      <x:c r="D68" s="6"/>
      <x:c r="E68" s="6"/>
      <x:c r="F68" s="6"/>
      <x:c r="G68" s="6"/>
      <x:c r="H68" s="6"/>
    </x:row>
    <x:row r="69">
      <x:c r="A69" s="7"/>
      <x:c r="B69" s="7"/>
      <x:c r="C69" s="6"/>
      <x:c r="D69" s="6"/>
      <x:c r="E69" s="6"/>
      <x:c r="F69" s="6"/>
      <x:c r="G69" s="6"/>
      <x:c r="H69" s="6"/>
    </x:row>
    <x:row r="70">
      <x:c r="A70" s="7"/>
      <x:c r="B70" s="7"/>
      <x:c r="C70" s="6"/>
      <x:c r="D70" s="6"/>
      <x:c r="E70" s="6"/>
      <x:c r="F70" s="6"/>
      <x:c r="G70" s="6"/>
      <x:c r="H70" s="6"/>
    </x:row>
    <x:row r="71">
      <x:c r="A71" s="7"/>
      <x:c r="B71" s="7"/>
      <x:c r="C71" s="6"/>
      <x:c r="D71" s="6"/>
      <x:c r="E71" s="6"/>
      <x:c r="F71" s="6"/>
      <x:c r="G71" s="6"/>
      <x:c r="H71" s="6"/>
    </x:row>
    <x:row r="72">
      <x:c r="A72" s="7"/>
      <x:c r="B72" s="7"/>
      <x:c r="C72" s="6"/>
      <x:c r="D72" s="6"/>
      <x:c r="E72" s="6"/>
      <x:c r="F72" s="6"/>
      <x:c r="G72" s="6"/>
      <x:c r="H72" s="6"/>
    </x:row>
    <x:row r="73">
      <x:c r="A73" s="7"/>
      <x:c r="B73" s="7"/>
      <x:c r="C73" s="6"/>
      <x:c r="D73" s="6"/>
      <x:c r="E73" s="6"/>
      <x:c r="F73" s="6"/>
      <x:c r="G73" s="6"/>
      <x:c r="H73" s="6"/>
    </x:row>
    <x:row r="74">
      <x:c r="A74" s="7"/>
      <x:c r="B74" s="7"/>
      <x:c r="C74" s="6"/>
      <x:c r="D74" s="6"/>
      <x:c r="E74" s="6"/>
      <x:c r="F74" s="6"/>
      <x:c r="G74" s="6"/>
      <x:c r="H74" s="6"/>
    </x:row>
    <x:row r="75">
      <x:c r="A75" s="7"/>
      <x:c r="B75" s="7"/>
      <x:c r="C75" s="6"/>
      <x:c r="D75" s="6"/>
      <x:c r="E75" s="6"/>
      <x:c r="F75" s="6"/>
      <x:c r="G75" s="6"/>
      <x:c r="H75" s="6"/>
    </x:row>
    <x:row r="76">
      <x:c r="A76" s="7"/>
      <x:c r="B76" s="7"/>
      <x:c r="C76" s="6"/>
      <x:c r="D76" s="6"/>
      <x:c r="E76" s="6"/>
      <x:c r="F76" s="6"/>
      <x:c r="G76" s="6"/>
      <x:c r="H76" s="6"/>
    </x:row>
    <x:row r="77">
      <x:c r="A77" s="7"/>
      <x:c r="B77" s="7"/>
      <x:c r="C77" s="6"/>
      <x:c r="D77" s="6"/>
      <x:c r="E77" s="6"/>
      <x:c r="F77" s="6"/>
      <x:c r="G77" s="6"/>
      <x:c r="H77" s="6"/>
    </x:row>
    <x:row r="78">
      <x:c r="A78" s="7"/>
      <x:c r="B78" s="7"/>
      <x:c r="C78" s="6"/>
      <x:c r="D78" s="6"/>
      <x:c r="E78" s="6"/>
      <x:c r="F78" s="6"/>
      <x:c r="G78" s="6"/>
      <x:c r="H78" s="6"/>
    </x:row>
    <x:row r="79">
      <x:c r="A79" s="7"/>
      <x:c r="B79" s="7"/>
      <x:c r="C79" s="6"/>
      <x:c r="D79" s="6"/>
      <x:c r="E79" s="6"/>
      <x:c r="F79" s="6"/>
      <x:c r="G79" s="6"/>
      <x:c r="H79" s="6"/>
    </x:row>
    <x:row r="80">
      <x:c r="A80" s="7"/>
      <x:c r="B80" s="7"/>
      <x:c r="C80" s="6"/>
      <x:c r="D80" s="6"/>
      <x:c r="E80" s="6"/>
      <x:c r="F80" s="6"/>
      <x:c r="G80" s="6"/>
      <x:c r="H80" s="6"/>
    </x:row>
    <x:row r="81">
      <x:c r="A81" s="7"/>
      <x:c r="B81" s="7"/>
      <x:c r="C81" s="6"/>
      <x:c r="D81" s="6"/>
      <x:c r="E81" s="6"/>
      <x:c r="F81" s="6"/>
      <x:c r="G81" s="6"/>
      <x:c r="H81" s="6"/>
    </x:row>
    <x:row r="82">
      <x:c r="A82" s="7"/>
      <x:c r="B82" s="7"/>
      <x:c r="C82" s="6"/>
      <x:c r="D82" s="6"/>
      <x:c r="E82" s="6"/>
      <x:c r="F82" s="6"/>
      <x:c r="G82" s="6"/>
      <x:c r="H82" s="6"/>
    </x:row>
    <x:row r="83">
      <x:c r="A83" s="7"/>
      <x:c r="B83" s="7"/>
      <x:c r="C83" s="6"/>
      <x:c r="D83" s="6"/>
      <x:c r="E83" s="6"/>
      <x:c r="F83" s="6"/>
      <x:c r="G83" s="6"/>
      <x:c r="H83" s="6"/>
    </x:row>
    <x:row r="84">
      <x:c r="A84" s="7"/>
      <x:c r="B84" s="7"/>
      <x:c r="C84" s="6"/>
      <x:c r="D84" s="6"/>
      <x:c r="E84" s="6"/>
      <x:c r="F84" s="6"/>
      <x:c r="G84" s="6"/>
      <x:c r="H84" s="6"/>
    </x:row>
    <x:row r="85">
      <x:c r="A85" s="7"/>
      <x:c r="B85" s="7"/>
      <x:c r="C85" s="6"/>
      <x:c r="D85" s="6"/>
      <x:c r="E85" s="6"/>
      <x:c r="F85" s="6"/>
      <x:c r="G85" s="6"/>
      <x:c r="H85" s="6"/>
    </x:row>
    <x:row r="86">
      <x:c r="A86" s="7"/>
      <x:c r="B86" s="7"/>
      <x:c r="C86" s="6"/>
      <x:c r="D86" s="6"/>
      <x:c r="E86" s="6"/>
      <x:c r="F86" s="6"/>
      <x:c r="G86" s="6"/>
      <x:c r="H86" s="6"/>
    </x:row>
    <x:row r="87">
      <x:c r="A87" s="7"/>
      <x:c r="B87" s="7"/>
      <x:c r="C87" s="6"/>
      <x:c r="D87" s="6"/>
      <x:c r="E87" s="6"/>
      <x:c r="F87" s="6"/>
      <x:c r="G87" s="6"/>
      <x:c r="H87" s="6"/>
    </x:row>
    <x:row r="88">
      <x:c r="A88" s="7"/>
      <x:c r="B88" s="7"/>
      <x:c r="C88" s="6"/>
      <x:c r="D88" s="6"/>
      <x:c r="E88" s="6"/>
      <x:c r="F88" s="6"/>
      <x:c r="G88" s="6"/>
      <x:c r="H88" s="6"/>
    </x:row>
    <x:row r="89">
      <x:c r="A89" s="7"/>
      <x:c r="B89" s="7"/>
      <x:c r="C89" s="6"/>
      <x:c r="D89" s="6"/>
      <x:c r="E89" s="6"/>
      <x:c r="F89" s="6"/>
      <x:c r="G89" s="6"/>
      <x:c r="H89" s="6"/>
    </x:row>
    <x:row r="90">
      <x:c r="A90" s="7"/>
      <x:c r="B90" s="7"/>
      <x:c r="C90" s="6"/>
      <x:c r="D90" s="6"/>
      <x:c r="E90" s="6"/>
      <x:c r="F90" s="6"/>
      <x:c r="G90" s="6"/>
      <x:c r="H90" s="6"/>
    </x:row>
    <x:row r="91">
      <x:c r="A91" s="7"/>
      <x:c r="B91" s="7"/>
      <x:c r="C91" s="6"/>
      <x:c r="D91" s="6"/>
      <x:c r="E91" s="6"/>
      <x:c r="F91" s="6"/>
      <x:c r="G91" s="6"/>
      <x:c r="H91" s="6"/>
    </x:row>
    <x:row r="92">
      <x:c r="A92" s="7"/>
      <x:c r="B92" s="7"/>
      <x:c r="C92" s="6"/>
      <x:c r="D92" s="6"/>
      <x:c r="E92" s="6"/>
      <x:c r="F92" s="6"/>
      <x:c r="G92" s="6"/>
      <x:c r="H92" s="6"/>
    </x:row>
    <x:row r="93">
      <x:c r="A93" s="7"/>
      <x:c r="B93" s="7"/>
      <x:c r="C93" s="6"/>
      <x:c r="D93" s="6"/>
      <x:c r="E93" s="6"/>
      <x:c r="F93" s="6"/>
      <x:c r="G93" s="6"/>
      <x:c r="H93" s="6"/>
    </x:row>
    <x:row r="94">
      <x:c r="A94" s="7"/>
      <x:c r="B94" s="7"/>
      <x:c r="C94" s="6"/>
      <x:c r="D94" s="6"/>
      <x:c r="E94" s="6"/>
      <x:c r="F94" s="6"/>
      <x:c r="G94" s="6"/>
      <x:c r="H94" s="6"/>
    </x:row>
    <x:row r="95">
      <x:c r="A95" s="7"/>
      <x:c r="B95" s="7"/>
      <x:c r="C95" s="6"/>
      <x:c r="D95" s="6"/>
      <x:c r="E95" s="6"/>
      <x:c r="F95" s="6"/>
      <x:c r="G95" s="6"/>
      <x:c r="H95" s="6"/>
    </x:row>
    <x:row r="96">
      <x:c r="A96" s="7"/>
      <x:c r="B96" s="7"/>
      <x:c r="C96" s="6"/>
      <x:c r="D96" s="6"/>
      <x:c r="E96" s="6"/>
      <x:c r="F96" s="6"/>
      <x:c r="G96" s="6"/>
      <x:c r="H96" s="6"/>
    </x:row>
    <x:row r="97">
      <x:c r="A97" s="7"/>
      <x:c r="B97" s="7"/>
      <x:c r="C97" s="6"/>
      <x:c r="D97" s="6"/>
      <x:c r="E97" s="6"/>
      <x:c r="F97" s="6"/>
      <x:c r="G97" s="6"/>
      <x:c r="H97" s="6"/>
    </x:row>
    <x:row r="98">
      <x:c r="A98" s="7"/>
      <x:c r="B98" s="7"/>
      <x:c r="C98" s="6"/>
      <x:c r="D98" s="6"/>
      <x:c r="E98" s="6"/>
      <x:c r="F98" s="6"/>
      <x:c r="G98" s="6"/>
      <x:c r="H98" s="6"/>
    </x:row>
    <x:row r="99">
      <x:c r="A99" s="7"/>
      <x:c r="B99" s="7"/>
      <x:c r="C99" s="6"/>
      <x:c r="D99" s="6"/>
      <x:c r="E99" s="6"/>
      <x:c r="F99" s="6"/>
      <x:c r="G99" s="6"/>
      <x:c r="H99" s="6"/>
    </x:row>
    <x:row r="100">
      <x:c r="A100" s="7"/>
      <x:c r="B100" s="7"/>
      <x:c r="C100" s="6"/>
      <x:c r="D100" s="6"/>
      <x:c r="E100" s="6"/>
      <x:c r="F100" s="6"/>
      <x:c r="G100" s="6"/>
      <x:c r="H100" s="6"/>
    </x:row>
    <x:row r="101">
      <x:c r="A101" s="7"/>
      <x:c r="B101" s="7"/>
      <x:c r="C101" s="6"/>
      <x:c r="D101" s="6"/>
      <x:c r="E101" s="6"/>
      <x:c r="F101" s="6"/>
      <x:c r="G101" s="6"/>
      <x:c r="H101" s="6"/>
    </x:row>
    <x:row r="102">
      <x:c r="A102" s="7"/>
      <x:c r="B102" s="7"/>
      <x:c r="C102" s="6"/>
      <x:c r="D102" s="6"/>
      <x:c r="E102" s="6"/>
      <x:c r="F102" s="6"/>
      <x:c r="G102" s="6"/>
      <x:c r="H102" s="6"/>
    </x:row>
    <x:row r="103">
      <x:c r="A103" s="7"/>
      <x:c r="B103" s="7"/>
      <x:c r="C103" s="6"/>
      <x:c r="D103" s="6"/>
      <x:c r="E103" s="6"/>
      <x:c r="F103" s="6"/>
      <x:c r="G103" s="6"/>
      <x:c r="H103" s="6"/>
    </x:row>
    <x:row r="104">
      <x:c r="A104" s="7"/>
      <x:c r="B104" s="7"/>
      <x:c r="C104" s="6"/>
      <x:c r="D104" s="6"/>
      <x:c r="E104" s="6"/>
      <x:c r="F104" s="6"/>
      <x:c r="G104" s="6"/>
      <x:c r="H104" s="6"/>
    </x:row>
    <x:row r="105">
      <x:c r="A105" s="7"/>
      <x:c r="B105" s="7"/>
      <x:c r="C105" s="6"/>
      <x:c r="D105" s="6"/>
      <x:c r="E105" s="6"/>
      <x:c r="F105" s="6"/>
      <x:c r="G105" s="6"/>
      <x:c r="H105" s="6"/>
    </x:row>
    <x:row r="106">
      <x:c r="A106" s="7"/>
      <x:c r="B106" s="7"/>
      <x:c r="C106" s="6"/>
      <x:c r="D106" s="6"/>
      <x:c r="E106" s="6"/>
      <x:c r="F106" s="6"/>
      <x:c r="G106" s="6"/>
      <x:c r="H106" s="6"/>
    </x:row>
    <x:row r="107">
      <x:c r="A107" s="7"/>
      <x:c r="B107" s="7"/>
      <x:c r="C107" s="6"/>
      <x:c r="D107" s="6"/>
      <x:c r="E107" s="6"/>
      <x:c r="F107" s="6"/>
      <x:c r="G107" s="6"/>
      <x:c r="H107" s="6"/>
    </x:row>
    <x:row r="108">
      <x:c r="A108" s="7"/>
      <x:c r="B108" s="7"/>
      <x:c r="C108" s="6"/>
      <x:c r="D108" s="6"/>
      <x:c r="E108" s="6"/>
      <x:c r="F108" s="6"/>
      <x:c r="G108" s="6"/>
      <x:c r="H108" s="6"/>
    </x:row>
    <x:row r="109">
      <x:c r="A109" s="7"/>
      <x:c r="B109" s="7"/>
      <x:c r="C109" s="6"/>
      <x:c r="D109" s="6"/>
      <x:c r="E109" s="6"/>
      <x:c r="F109" s="6"/>
      <x:c r="G109" s="6"/>
      <x:c r="H109" s="6"/>
    </x:row>
    <x:row r="110">
      <x:c r="A110" s="7"/>
      <x:c r="B110" s="7"/>
      <x:c r="C110" s="6"/>
      <x:c r="D110" s="6"/>
      <x:c r="E110" s="6"/>
      <x:c r="F110" s="6"/>
      <x:c r="G110" s="6"/>
      <x:c r="H110" s="6"/>
    </x:row>
    <x:row r="111">
      <x:c r="A111" s="7"/>
      <x:c r="B111" s="7"/>
      <x:c r="C111" s="6"/>
      <x:c r="D111" s="6"/>
      <x:c r="E111" s="6"/>
      <x:c r="F111" s="6"/>
      <x:c r="G111" s="6"/>
      <x:c r="H111" s="6"/>
    </x:row>
    <x:row r="112">
      <x:c r="A112" s="7"/>
      <x:c r="B112" s="7"/>
      <x:c r="C112" s="6"/>
      <x:c r="D112" s="6"/>
      <x:c r="E112" s="6"/>
      <x:c r="F112" s="6"/>
      <x:c r="G112" s="6"/>
      <x:c r="H112" s="6"/>
    </x:row>
    <x:row r="113">
      <x:c r="A113" s="7"/>
      <x:c r="B113" s="7"/>
      <x:c r="C113" s="6"/>
      <x:c r="D113" s="6"/>
      <x:c r="E113" s="6"/>
      <x:c r="F113" s="6"/>
      <x:c r="G113" s="6"/>
      <x:c r="H113" s="6"/>
    </x:row>
    <x:row r="114">
      <x:c r="A114" s="7"/>
      <x:c r="B114" s="7"/>
      <x:c r="C114" s="6"/>
      <x:c r="D114" s="6"/>
      <x:c r="E114" s="6"/>
      <x:c r="F114" s="6"/>
      <x:c r="G114" s="6"/>
      <x:c r="H114" s="6"/>
    </x:row>
    <x:row r="115">
      <x:c r="A115" s="7"/>
      <x:c r="B115" s="7"/>
      <x:c r="C115" s="6"/>
      <x:c r="D115" s="6"/>
      <x:c r="E115" s="6"/>
      <x:c r="F115" s="6"/>
      <x:c r="G115" s="6"/>
      <x:c r="H115" s="6"/>
    </x:row>
    <x:row r="116">
      <x:c r="A116" s="7"/>
      <x:c r="B116" s="7"/>
      <x:c r="C116" s="6"/>
      <x:c r="D116" s="6"/>
      <x:c r="E116" s="6"/>
      <x:c r="F116" s="6"/>
      <x:c r="G116" s="6"/>
      <x:c r="H116" s="6"/>
    </x:row>
    <x:row r="117">
      <x:c r="A117" s="7"/>
      <x:c r="B117" s="7"/>
      <x:c r="C117" s="6"/>
      <x:c r="D117" s="6"/>
      <x:c r="E117" s="6"/>
      <x:c r="F117" s="6"/>
      <x:c r="G117" s="6"/>
      <x:c r="H117" s="6"/>
    </x:row>
    <x:row r="118">
      <x:c r="A118" s="7"/>
      <x:c r="B118" s="7"/>
      <x:c r="C118" s="6"/>
      <x:c r="D118" s="6"/>
      <x:c r="E118" s="6"/>
      <x:c r="F118" s="6"/>
      <x:c r="G118" s="6"/>
      <x:c r="H118" s="6"/>
    </x:row>
    <x:row r="119">
      <x:c r="A119" s="7"/>
      <x:c r="B119" s="7"/>
      <x:c r="C119" s="6"/>
      <x:c r="D119" s="6"/>
      <x:c r="E119" s="6"/>
      <x:c r="F119" s="6"/>
      <x:c r="G119" s="6"/>
      <x:c r="H119" s="6"/>
    </x:row>
    <x:row r="120">
      <x:c r="A120" s="7"/>
      <x:c r="B120" s="7"/>
      <x:c r="C120" s="6"/>
      <x:c r="D120" s="6"/>
      <x:c r="E120" s="6"/>
      <x:c r="F120" s="6"/>
      <x:c r="G120" s="6"/>
      <x:c r="H120" s="6"/>
    </x:row>
    <x:row r="121">
      <x:c r="A121" s="7"/>
      <x:c r="B121" s="7"/>
      <x:c r="C121" s="6"/>
      <x:c r="D121" s="6"/>
      <x:c r="E121" s="6"/>
      <x:c r="F121" s="6"/>
      <x:c r="G121" s="6"/>
      <x:c r="H121" s="6"/>
    </x:row>
    <x:row r="122">
      <x:c r="A122" s="7"/>
      <x:c r="B122" s="7"/>
      <x:c r="C122" s="6"/>
      <x:c r="D122" s="6"/>
      <x:c r="E122" s="6"/>
      <x:c r="F122" s="6"/>
      <x:c r="G122" s="6"/>
      <x:c r="H122" s="6"/>
    </x:row>
    <x:row r="123">
      <x:c r="A123" s="7"/>
      <x:c r="B123" s="7"/>
      <x:c r="C123" s="6"/>
      <x:c r="D123" s="6"/>
      <x:c r="E123" s="6"/>
      <x:c r="F123" s="6"/>
      <x:c r="G123" s="6"/>
      <x:c r="H123" s="6"/>
    </x:row>
    <x:row r="124">
      <x:c r="A124" s="7"/>
      <x:c r="B124" s="7"/>
      <x:c r="C124" s="6"/>
      <x:c r="D124" s="6"/>
      <x:c r="E124" s="6"/>
      <x:c r="F124" s="6"/>
      <x:c r="G124" s="6"/>
      <x:c r="H124" s="6"/>
    </x:row>
    <x:row r="125">
      <x:c r="A125" s="7"/>
      <x:c r="B125" s="7"/>
      <x:c r="C125" s="6"/>
      <x:c r="D125" s="6"/>
      <x:c r="E125" s="6"/>
      <x:c r="F125" s="6"/>
      <x:c r="G125" s="6"/>
      <x:c r="H125" s="6"/>
    </x:row>
    <x:row r="126">
      <x:c r="A126" s="7"/>
      <x:c r="B126" s="7"/>
      <x:c r="C126" s="6"/>
      <x:c r="D126" s="6"/>
      <x:c r="E126" s="6"/>
      <x:c r="F126" s="6"/>
      <x:c r="G126" s="6"/>
      <x:c r="H126" s="6"/>
    </x:row>
    <x:row r="127">
      <x:c r="A127" s="7"/>
      <x:c r="B127" s="7"/>
      <x:c r="C127" s="6"/>
      <x:c r="D127" s="6"/>
      <x:c r="E127" s="6"/>
      <x:c r="F127" s="6"/>
      <x:c r="G127" s="6"/>
      <x:c r="H127" s="6"/>
    </x:row>
    <x:row r="128">
      <x:c r="A128" s="7"/>
      <x:c r="B128" s="7"/>
      <x:c r="C128" s="6"/>
      <x:c r="D128" s="6"/>
      <x:c r="E128" s="6"/>
      <x:c r="F128" s="6"/>
      <x:c r="G128" s="6"/>
      <x:c r="H128" s="6"/>
    </x:row>
    <x:row r="129">
      <x:c r="A129" s="7"/>
      <x:c r="B129" s="7"/>
      <x:c r="C129" s="6"/>
      <x:c r="D129" s="6"/>
      <x:c r="E129" s="6"/>
      <x:c r="F129" s="6"/>
      <x:c r="G129" s="6"/>
      <x:c r="H129" s="6"/>
    </x:row>
    <x:row r="130">
      <x:c r="A130" s="7"/>
      <x:c r="B130" s="7"/>
      <x:c r="C130" s="6"/>
      <x:c r="D130" s="6"/>
      <x:c r="E130" s="6"/>
      <x:c r="F130" s="6"/>
      <x:c r="G130" s="6"/>
      <x:c r="H130" s="6"/>
    </x:row>
    <x:row r="131">
      <x:c r="A131" s="7"/>
      <x:c r="B131" s="7"/>
      <x:c r="C131" s="6"/>
      <x:c r="D131" s="6"/>
      <x:c r="E131" s="6"/>
      <x:c r="F131" s="6"/>
      <x:c r="G131" s="6"/>
      <x:c r="H131" s="6"/>
    </x:row>
    <x:row r="132">
      <x:c r="A132" s="7"/>
      <x:c r="B132" s="7"/>
      <x:c r="C132" s="6"/>
      <x:c r="D132" s="6"/>
      <x:c r="E132" s="6"/>
      <x:c r="F132" s="6"/>
      <x:c r="G132" s="6"/>
      <x:c r="H132" s="6"/>
    </x:row>
    <x:row r="133">
      <x:c r="A133" s="7"/>
      <x:c r="B133" s="7"/>
      <x:c r="C133" s="6"/>
      <x:c r="D133" s="6"/>
      <x:c r="E133" s="6"/>
      <x:c r="F133" s="6"/>
      <x:c r="G133" s="6"/>
      <x:c r="H133" s="6"/>
    </x:row>
    <x:row r="134">
      <x:c r="A134" s="7"/>
      <x:c r="B134" s="7"/>
      <x:c r="C134" s="6"/>
      <x:c r="D134" s="6"/>
      <x:c r="E134" s="6"/>
      <x:c r="F134" s="6"/>
      <x:c r="G134" s="6"/>
      <x:c r="H134" s="6"/>
    </x:row>
    <x:row r="135">
      <x:c r="A135" s="7"/>
      <x:c r="B135" s="7"/>
      <x:c r="C135" s="6"/>
      <x:c r="D135" s="6"/>
      <x:c r="E135" s="6"/>
      <x:c r="F135" s="6"/>
      <x:c r="G135" s="6"/>
      <x:c r="H135" s="6"/>
    </x:row>
    <x:row r="136">
      <x:c r="A136" s="7"/>
      <x:c r="B136" s="7"/>
      <x:c r="C136" s="6"/>
      <x:c r="D136" s="6"/>
      <x:c r="E136" s="6"/>
      <x:c r="F136" s="6"/>
      <x:c r="G136" s="6"/>
      <x:c r="H136" s="6"/>
    </x:row>
    <x:row r="137">
      <x:c r="A137" s="7"/>
      <x:c r="B137" s="7"/>
      <x:c r="C137" s="6"/>
      <x:c r="D137" s="6"/>
      <x:c r="E137" s="6"/>
      <x:c r="F137" s="6"/>
      <x:c r="G137" s="6"/>
      <x:c r="H137" s="6"/>
    </x:row>
    <x:row r="138">
      <x:c r="A138" s="7"/>
      <x:c r="B138" s="7"/>
      <x:c r="C138" s="6"/>
      <x:c r="D138" s="6"/>
      <x:c r="E138" s="6"/>
      <x:c r="F138" s="6"/>
      <x:c r="G138" s="6"/>
      <x:c r="H138" s="6"/>
    </x:row>
    <x:row r="139">
      <x:c r="A139" s="7"/>
      <x:c r="B139" s="7"/>
      <x:c r="C139" s="6"/>
      <x:c r="D139" s="6"/>
      <x:c r="E139" s="6"/>
      <x:c r="F139" s="6"/>
      <x:c r="G139" s="6"/>
      <x:c r="H139" s="6"/>
    </x:row>
    <x:row r="140">
      <x:c r="A140" s="7"/>
      <x:c r="B140" s="7"/>
      <x:c r="C140" s="6"/>
      <x:c r="D140" s="6"/>
      <x:c r="E140" s="6"/>
      <x:c r="F140" s="6"/>
      <x:c r="G140" s="6"/>
      <x:c r="H140" s="6"/>
    </x:row>
    <x:row r="141">
      <x:c r="A141" s="7"/>
      <x:c r="B141" s="7"/>
      <x:c r="C141" s="6"/>
      <x:c r="D141" s="6"/>
      <x:c r="E141" s="6"/>
      <x:c r="F141" s="6"/>
      <x:c r="G141" s="6"/>
      <x:c r="H141" s="6"/>
    </x:row>
    <x:row r="142">
      <x:c r="A142" s="7"/>
      <x:c r="B142" s="7"/>
      <x:c r="C142" s="6"/>
      <x:c r="D142" s="6"/>
      <x:c r="E142" s="6"/>
      <x:c r="F142" s="6"/>
      <x:c r="G142" s="6"/>
      <x:c r="H142" s="6"/>
    </x:row>
    <x:row r="143">
      <x:c r="A143" s="7"/>
      <x:c r="B143" s="7"/>
      <x:c r="C143" s="6"/>
      <x:c r="D143" s="6"/>
      <x:c r="E143" s="6"/>
      <x:c r="F143" s="6"/>
      <x:c r="G143" s="6"/>
      <x:c r="H143" s="6"/>
    </x:row>
    <x:row r="144">
      <x:c r="A144" s="7"/>
      <x:c r="B144" s="7"/>
      <x:c r="C144" s="6"/>
      <x:c r="D144" s="6"/>
      <x:c r="E144" s="6"/>
      <x:c r="F144" s="6"/>
      <x:c r="G144" s="6"/>
      <x:c r="H144" s="6"/>
    </x:row>
    <x:row r="145">
      <x:c r="A145" s="7"/>
      <x:c r="B145" s="7"/>
      <x:c r="C145" s="6"/>
      <x:c r="D145" s="6"/>
      <x:c r="E145" s="6"/>
      <x:c r="F145" s="6"/>
      <x:c r="G145" s="6"/>
      <x:c r="H145" s="6"/>
    </x:row>
    <x:row r="146">
      <x:c r="A146" s="7"/>
      <x:c r="B146" s="7"/>
      <x:c r="C146" s="6"/>
      <x:c r="D146" s="6"/>
      <x:c r="E146" s="6"/>
      <x:c r="F146" s="6"/>
      <x:c r="G146" s="6"/>
      <x:c r="H146" s="6"/>
    </x:row>
    <x:row r="147">
      <x:c r="A147" s="7"/>
      <x:c r="B147" s="7"/>
      <x:c r="C147" s="6"/>
      <x:c r="D147" s="6"/>
      <x:c r="E147" s="6"/>
      <x:c r="F147" s="6"/>
      <x:c r="G147" s="6"/>
      <x:c r="H147" s="6"/>
    </x:row>
    <x:row r="148">
      <x:c r="A148" s="7"/>
      <x:c r="B148" s="7"/>
      <x:c r="C148" s="6"/>
      <x:c r="D148" s="6"/>
      <x:c r="E148" s="6"/>
      <x:c r="F148" s="6"/>
      <x:c r="G148" s="6"/>
      <x:c r="H148" s="6"/>
    </x:row>
    <x:row r="149">
      <x:c r="A149" s="7"/>
      <x:c r="B149" s="7"/>
      <x:c r="C149" s="6"/>
      <x:c r="D149" s="6"/>
      <x:c r="E149" s="6"/>
      <x:c r="F149" s="6"/>
      <x:c r="G149" s="6"/>
      <x:c r="H149" s="6"/>
    </x:row>
    <x:row r="150">
      <x:c r="A150" s="7"/>
      <x:c r="B150" s="7"/>
      <x:c r="C150" s="6"/>
      <x:c r="D150" s="6"/>
      <x:c r="E150" s="6"/>
      <x:c r="F150" s="6"/>
      <x:c r="G150" s="6"/>
      <x:c r="H150" s="6"/>
    </x:row>
    <x:row r="151">
      <x:c r="A151" s="7"/>
      <x:c r="B151" s="7"/>
      <x:c r="C151" s="6"/>
      <x:c r="D151" s="6"/>
      <x:c r="E151" s="6"/>
      <x:c r="F151" s="6"/>
      <x:c r="G151" s="6"/>
      <x:c r="H151" s="6"/>
    </x:row>
    <x:row r="152">
      <x:c r="A152" s="7"/>
      <x:c r="B152" s="7"/>
      <x:c r="C152" s="6"/>
      <x:c r="D152" s="6"/>
      <x:c r="E152" s="6"/>
      <x:c r="F152" s="6"/>
      <x:c r="G152" s="6"/>
      <x:c r="H152" s="6"/>
    </x:row>
    <x:row r="153">
      <x:c r="A153" s="7"/>
      <x:c r="B153" s="7"/>
      <x:c r="C153" s="6"/>
      <x:c r="D153" s="6"/>
      <x:c r="E153" s="6"/>
      <x:c r="F153" s="6"/>
      <x:c r="G153" s="6"/>
      <x:c r="H153" s="6"/>
    </x:row>
    <x:row r="154">
      <x:c r="A154" s="7"/>
      <x:c r="B154" s="7"/>
      <x:c r="C154" s="6"/>
      <x:c r="D154" s="6"/>
      <x:c r="E154" s="6"/>
      <x:c r="F154" s="6"/>
      <x:c r="G154" s="6"/>
      <x:c r="H154" s="6"/>
    </x:row>
    <x:row r="155">
      <x:c r="A155" s="7"/>
      <x:c r="B155" s="7"/>
      <x:c r="C155" s="6"/>
      <x:c r="D155" s="6"/>
      <x:c r="E155" s="6"/>
      <x:c r="F155" s="6"/>
      <x:c r="G155" s="6"/>
      <x:c r="H155" s="6"/>
    </x:row>
    <x:row r="156">
      <x:c r="A156" s="7"/>
      <x:c r="B156" s="7"/>
      <x:c r="C156" s="6"/>
      <x:c r="D156" s="6"/>
      <x:c r="E156" s="6"/>
      <x:c r="F156" s="6"/>
      <x:c r="G156" s="6"/>
      <x:c r="H156" s="6"/>
    </x:row>
    <x:row r="157">
      <x:c r="A157" s="7"/>
      <x:c r="B157" s="7"/>
      <x:c r="C157" s="6"/>
      <x:c r="D157" s="6"/>
      <x:c r="E157" s="6"/>
      <x:c r="F157" s="6"/>
      <x:c r="G157" s="6"/>
      <x:c r="H157" s="6"/>
    </x:row>
    <x:row r="158">
      <x:c r="A158" s="7"/>
      <x:c r="B158" s="7"/>
      <x:c r="C158" s="6"/>
      <x:c r="D158" s="6"/>
      <x:c r="E158" s="6"/>
      <x:c r="F158" s="6"/>
      <x:c r="G158" s="6"/>
      <x:c r="H158" s="6"/>
    </x:row>
    <x:row r="159">
      <x:c r="A159" s="7"/>
      <x:c r="B159" s="7"/>
      <x:c r="C159" s="6"/>
      <x:c r="D159" s="6"/>
      <x:c r="E159" s="6"/>
      <x:c r="F159" s="6"/>
      <x:c r="G159" s="6"/>
      <x:c r="H159" s="6"/>
    </x:row>
    <x:row r="160">
      <x:c r="A160" s="7"/>
      <x:c r="B160" s="7"/>
      <x:c r="C160" s="6"/>
      <x:c r="D160" s="6"/>
      <x:c r="E160" s="6"/>
      <x:c r="F160" s="6"/>
      <x:c r="G160" s="6"/>
      <x:c r="H160" s="6"/>
    </x:row>
    <x:row r="161">
      <x:c r="A161" s="7"/>
      <x:c r="B161" s="7"/>
      <x:c r="C161" s="6"/>
      <x:c r="D161" s="6"/>
      <x:c r="E161" s="6"/>
      <x:c r="F161" s="6"/>
      <x:c r="G161" s="6"/>
      <x:c r="H161" s="6"/>
    </x:row>
    <x:row r="162">
      <x:c r="A162" s="7"/>
      <x:c r="B162" s="7"/>
      <x:c r="C162" s="6"/>
      <x:c r="D162" s="6"/>
      <x:c r="E162" s="6"/>
      <x:c r="F162" s="6"/>
      <x:c r="G162" s="6"/>
      <x:c r="H162" s="6"/>
    </x:row>
    <x:row r="163">
      <x:c r="A163" s="7"/>
      <x:c r="B163" s="7"/>
      <x:c r="C163" s="6"/>
      <x:c r="D163" s="6"/>
      <x:c r="E163" s="6"/>
      <x:c r="F163" s="6"/>
      <x:c r="G163" s="6"/>
      <x:c r="H163" s="6"/>
    </x:row>
    <x:row r="164">
      <x:c r="A164" s="7"/>
      <x:c r="B164" s="7"/>
      <x:c r="C164" s="6"/>
      <x:c r="D164" s="6"/>
      <x:c r="E164" s="6"/>
      <x:c r="F164" s="6"/>
      <x:c r="G164" s="6"/>
      <x:c r="H164" s="6"/>
    </x:row>
    <x:row r="165">
      <x:c r="A165" s="7"/>
      <x:c r="B165" s="7"/>
      <x:c r="C165" s="6"/>
      <x:c r="D165" s="6"/>
      <x:c r="E165" s="6"/>
      <x:c r="F165" s="6"/>
      <x:c r="G165" s="6"/>
      <x:c r="H165" s="6"/>
    </x:row>
    <x:row r="166">
      <x:c r="A166" s="7"/>
      <x:c r="B166" s="7"/>
      <x:c r="C166" s="6"/>
      <x:c r="D166" s="6"/>
      <x:c r="E166" s="6"/>
      <x:c r="F166" s="6"/>
      <x:c r="G166" s="6"/>
      <x:c r="H166" s="6"/>
    </x:row>
    <x:row r="167">
      <x:c r="A167" s="7"/>
      <x:c r="B167" s="7"/>
      <x:c r="C167" s="6"/>
      <x:c r="D167" s="6"/>
      <x:c r="E167" s="6"/>
      <x:c r="F167" s="6"/>
      <x:c r="G167" s="6"/>
      <x:c r="H167" s="6"/>
    </x:row>
    <x:row r="168">
      <x:c r="A168" s="7"/>
      <x:c r="B168" s="7"/>
      <x:c r="C168" s="6"/>
      <x:c r="D168" s="6"/>
      <x:c r="E168" s="6"/>
      <x:c r="F168" s="6"/>
      <x:c r="G168" s="6"/>
      <x:c r="H168" s="6"/>
    </x:row>
    <x:row r="169">
      <x:c r="A169" s="7"/>
      <x:c r="B169" s="7"/>
      <x:c r="C169" s="6"/>
      <x:c r="D169" s="6"/>
      <x:c r="E169" s="6"/>
      <x:c r="F169" s="6"/>
      <x:c r="G169" s="6"/>
      <x:c r="H169" s="6"/>
    </x:row>
    <x:row r="170">
      <x:c r="A170" s="7"/>
      <x:c r="B170" s="7"/>
      <x:c r="C170" s="6"/>
      <x:c r="D170" s="6"/>
      <x:c r="E170" s="6"/>
      <x:c r="F170" s="6"/>
      <x:c r="G170" s="6"/>
      <x:c r="H170" s="6"/>
    </x:row>
    <x:row r="171">
      <x:c r="A171" s="7"/>
      <x:c r="B171" s="7"/>
      <x:c r="C171" s="6"/>
      <x:c r="D171" s="6"/>
      <x:c r="E171" s="6"/>
      <x:c r="F171" s="6"/>
      <x:c r="G171" s="6"/>
      <x:c r="H171" s="6"/>
    </x:row>
    <x:row r="172">
      <x:c r="A172" s="7"/>
      <x:c r="B172" s="7"/>
      <x:c r="C172" s="6"/>
      <x:c r="D172" s="6"/>
      <x:c r="E172" s="6"/>
      <x:c r="F172" s="6"/>
      <x:c r="G172" s="6"/>
      <x:c r="H172" s="6"/>
    </x:row>
    <x:row r="173">
      <x:c r="A173" s="7"/>
      <x:c r="B173" s="7"/>
      <x:c r="C173" s="6"/>
      <x:c r="D173" s="6"/>
      <x:c r="E173" s="6"/>
      <x:c r="F173" s="6"/>
      <x:c r="G173" s="6"/>
      <x:c r="H173" s="6"/>
    </x:row>
    <x:row r="174">
      <x:c r="A174" s="7"/>
      <x:c r="B174" s="7"/>
      <x:c r="C174" s="6"/>
      <x:c r="D174" s="6"/>
      <x:c r="E174" s="6"/>
      <x:c r="F174" s="6"/>
      <x:c r="G174" s="6"/>
      <x:c r="H174" s="6"/>
    </x:row>
    <x:row r="175">
      <x:c r="A175" s="7"/>
      <x:c r="B175" s="7"/>
      <x:c r="C175" s="6"/>
      <x:c r="D175" s="6"/>
      <x:c r="E175" s="6"/>
      <x:c r="F175" s="6"/>
      <x:c r="G175" s="6"/>
      <x:c r="H175" s="6"/>
    </x:row>
    <x:row r="176">
      <x:c r="A176" s="7"/>
      <x:c r="B176" s="7"/>
      <x:c r="C176" s="6"/>
      <x:c r="D176" s="6"/>
      <x:c r="E176" s="6"/>
      <x:c r="F176" s="6"/>
      <x:c r="G176" s="6"/>
      <x:c r="H176" s="6"/>
    </x:row>
    <x:row r="177">
      <x:c r="A177" s="7"/>
      <x:c r="B177" s="7"/>
      <x:c r="C177" s="6"/>
      <x:c r="D177" s="6"/>
      <x:c r="E177" s="6"/>
      <x:c r="F177" s="6"/>
      <x:c r="G177" s="6"/>
      <x:c r="H177" s="6"/>
    </x:row>
    <x:row r="178">
      <x:c r="A178" s="7"/>
      <x:c r="B178" s="7"/>
      <x:c r="C178" s="6"/>
      <x:c r="D178" s="6"/>
      <x:c r="E178" s="6"/>
      <x:c r="F178" s="6"/>
      <x:c r="G178" s="6"/>
      <x:c r="H178" s="6"/>
    </x:row>
    <x:row r="179">
      <x:c r="A179" s="7"/>
      <x:c r="B179" s="7"/>
      <x:c r="C179" s="6"/>
      <x:c r="D179" s="6"/>
      <x:c r="E179" s="6"/>
      <x:c r="F179" s="6"/>
      <x:c r="G179" s="6"/>
      <x:c r="H179" s="6"/>
    </x:row>
    <x:row r="180">
      <x:c r="A180" s="7"/>
      <x:c r="B180" s="7"/>
      <x:c r="C180" s="6"/>
      <x:c r="D180" s="6"/>
      <x:c r="E180" s="6"/>
      <x:c r="F180" s="6"/>
      <x:c r="G180" s="6"/>
      <x:c r="H180" s="6"/>
    </x:row>
    <x:row r="181">
      <x:c r="A181" s="7"/>
      <x:c r="B181" s="7"/>
      <x:c r="C181" s="6"/>
      <x:c r="D181" s="6"/>
      <x:c r="E181" s="6"/>
      <x:c r="F181" s="6"/>
      <x:c r="G181" s="6"/>
      <x:c r="H181" s="6"/>
    </x:row>
    <x:row r="182">
      <x:c r="A182" s="7"/>
      <x:c r="B182" s="7"/>
      <x:c r="C182" s="6"/>
      <x:c r="D182" s="6"/>
      <x:c r="E182" s="6"/>
      <x:c r="F182" s="6"/>
      <x:c r="G182" s="6"/>
      <x:c r="H182" s="6"/>
    </x:row>
    <x:row r="183">
      <x:c r="A183" s="7"/>
      <x:c r="B183" s="7"/>
      <x:c r="C183" s="6"/>
      <x:c r="D183" s="6"/>
      <x:c r="E183" s="6"/>
      <x:c r="F183" s="6"/>
      <x:c r="G183" s="6"/>
      <x:c r="H183" s="6"/>
    </x:row>
    <x:row r="184">
      <x:c r="A184" s="7"/>
      <x:c r="B184" s="7"/>
      <x:c r="C184" s="6"/>
      <x:c r="D184" s="6"/>
      <x:c r="E184" s="6"/>
      <x:c r="F184" s="6"/>
      <x:c r="G184" s="6"/>
      <x:c r="H184" s="6"/>
    </x:row>
    <x:row r="185">
      <x:c r="A185" s="7"/>
      <x:c r="B185" s="7"/>
      <x:c r="C185" s="6"/>
      <x:c r="D185" s="6"/>
      <x:c r="E185" s="6"/>
      <x:c r="F185" s="6"/>
      <x:c r="G185" s="6"/>
      <x:c r="H185" s="6"/>
    </x:row>
    <x:row r="186">
      <x:c r="A186" s="7"/>
      <x:c r="B186" s="7"/>
      <x:c r="C186" s="6"/>
      <x:c r="D186" s="6"/>
      <x:c r="E186" s="6"/>
      <x:c r="F186" s="6"/>
      <x:c r="G186" s="6"/>
      <x:c r="H186" s="6"/>
    </x:row>
    <x:row r="187">
      <x:c r="A187" s="7"/>
      <x:c r="B187" s="7"/>
      <x:c r="C187" s="6"/>
      <x:c r="D187" s="6"/>
      <x:c r="E187" s="6"/>
      <x:c r="F187" s="6"/>
      <x:c r="G187" s="6"/>
      <x:c r="H187" s="6"/>
    </x:row>
    <x:row r="188">
      <x:c r="A188" s="7"/>
      <x:c r="B188" s="7"/>
      <x:c r="C188" s="6"/>
      <x:c r="D188" s="6"/>
      <x:c r="E188" s="6"/>
      <x:c r="F188" s="6"/>
      <x:c r="G188" s="6"/>
      <x:c r="H188" s="6"/>
    </x:row>
    <x:row r="189">
      <x:c r="A189" s="7"/>
      <x:c r="B189" s="7"/>
      <x:c r="C189" s="6"/>
      <x:c r="D189" s="6"/>
      <x:c r="E189" s="6"/>
      <x:c r="F189" s="6"/>
      <x:c r="G189" s="6"/>
      <x:c r="H189" s="6"/>
    </x:row>
    <x:row r="190">
      <x:c r="A190" s="7"/>
      <x:c r="B190" s="7"/>
      <x:c r="C190" s="6"/>
      <x:c r="D190" s="6"/>
      <x:c r="E190" s="6"/>
      <x:c r="F190" s="6"/>
      <x:c r="G190" s="6"/>
      <x:c r="H190" s="6"/>
    </x:row>
    <x:row r="191">
      <x:c r="A191" s="7"/>
      <x:c r="B191" s="7"/>
      <x:c r="C191" s="6"/>
      <x:c r="D191" s="6"/>
      <x:c r="E191" s="6"/>
      <x:c r="F191" s="6"/>
      <x:c r="G191" s="6"/>
      <x:c r="H191" s="6"/>
    </x:row>
    <x:row r="192">
      <x:c r="A192" s="7"/>
      <x:c r="B192" s="7"/>
      <x:c r="C192" s="6"/>
      <x:c r="D192" s="6"/>
      <x:c r="E192" s="6"/>
      <x:c r="F192" s="6"/>
      <x:c r="G192" s="6"/>
      <x:c r="H192" s="6"/>
    </x:row>
    <x:row r="193">
      <x:c r="A193" s="7"/>
      <x:c r="B193" s="7"/>
      <x:c r="C193" s="6"/>
      <x:c r="D193" s="6"/>
      <x:c r="E193" s="6"/>
      <x:c r="F193" s="6"/>
      <x:c r="G193" s="6"/>
      <x:c r="H193" s="6"/>
    </x:row>
    <x:row r="194">
      <x:c r="A194" s="7"/>
      <x:c r="B194" s="7"/>
      <x:c r="C194" s="6"/>
      <x:c r="D194" s="6"/>
      <x:c r="E194" s="6"/>
      <x:c r="F194" s="6"/>
      <x:c r="G194" s="6"/>
      <x:c r="H194" s="6"/>
    </x:row>
    <x:row r="195">
      <x:c r="A195" s="7"/>
      <x:c r="B195" s="7"/>
      <x:c r="C195" s="6"/>
      <x:c r="D195" s="6"/>
      <x:c r="E195" s="6"/>
      <x:c r="F195" s="6"/>
      <x:c r="G195" s="6"/>
      <x:c r="H195" s="6"/>
    </x:row>
    <x:row r="196">
      <x:c r="A196" s="7"/>
      <x:c r="B196" s="7"/>
      <x:c r="C196" s="6"/>
      <x:c r="D196" s="6"/>
      <x:c r="E196" s="6"/>
      <x:c r="F196" s="6"/>
      <x:c r="G196" s="6"/>
      <x:c r="H196" s="6"/>
    </x:row>
    <x:row r="197">
      <x:c r="A197" s="7"/>
      <x:c r="B197" s="7"/>
      <x:c r="C197" s="6"/>
      <x:c r="D197" s="6"/>
      <x:c r="E197" s="6"/>
      <x:c r="F197" s="6"/>
      <x:c r="G197" s="6"/>
      <x:c r="H197" s="6"/>
    </x:row>
    <x:row r="198">
      <x:c r="A198" s="7"/>
      <x:c r="B198" s="7"/>
      <x:c r="C198" s="6"/>
      <x:c r="D198" s="6"/>
      <x:c r="E198" s="6"/>
      <x:c r="F198" s="6"/>
      <x:c r="G198" s="6"/>
      <x:c r="H198" s="6"/>
    </x:row>
    <x:row r="199">
      <x:c r="A199" s="7"/>
      <x:c r="B199" s="7"/>
      <x:c r="C199" s="6"/>
      <x:c r="D199" s="6"/>
      <x:c r="E199" s="6"/>
      <x:c r="F199" s="6"/>
      <x:c r="G199" s="6"/>
      <x:c r="H199" s="6"/>
    </x:row>
    <x:row r="200">
      <x:c r="A200" s="7"/>
      <x:c r="B200" s="7"/>
      <x:c r="C200" s="6"/>
      <x:c r="D200" s="6"/>
      <x:c r="E200" s="6"/>
      <x:c r="F200" s="6"/>
      <x:c r="G200" s="6"/>
      <x:c r="H200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9" hidden="0" customWidth="1"/>
    <x:col min="4" max="4" width="21" hidden="0" customWidth="1"/>
    <x:col min="5" max="5" width="15" hidden="0" customWidth="1"/>
    <x:col min="6" max="6" width="57" hidden="0" customWidth="1"/>
    <x:col min="7" max="7" width="18" hidden="0" customWidth="1"/>
    <x:col min="8" max="8" width="60" hidden="0" customWidth="1"/>
  </x:cols>
  <x:sheetData>
    <x:row r="1" ht="25" customHeight="1">
      <x:c r="A1" s="7"/>
      <x:c r="B1" s="7"/>
      <x:c r="C1" s="4" t="str">
        <x:v>Bank and insurer capital screens</x:v>
      </x:c>
      <x:c r="D1" s="4"/>
      <x:c r="E1" s="4"/>
      <x:c r="F1" s="4"/>
      <x:c r="G1" s="4"/>
      <x:c r="H1" s="4"/>
      <x:c r="I1" s="4"/>
    </x:row>
    <x:row r="2">
      <x:c r="A2" s="7"/>
      <x:c r="B2" s="7"/>
      <x:c r="C2" s="5" t="str">
        <x:v>System figures and issuer results are context, not substitutes for each regulated entity's capital and solvency calculations.</x:v>
      </x:c>
      <x:c r="D2" s="5"/>
      <x:c r="E2" s="5"/>
      <x:c r="F2" s="5"/>
      <x:c r="G2" s="5"/>
      <x:c r="H2" s="5"/>
      <x:c r="I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</x:row>
    <x:row r="4">
      <x:c r="A4" s="7"/>
      <x:c r="B4" s="7"/>
      <x:c r="C4" s="6"/>
      <x:c r="D4" s="6"/>
      <x:c r="E4" s="6"/>
      <x:c r="F4" s="6"/>
      <x:c r="G4" s="6"/>
      <x:c r="H4" s="6"/>
      <x:c r="I4" s="6"/>
    </x:row>
    <x:row r="5" ht="30" customHeight="1">
      <x:c r="A5" s="7"/>
      <x:c r="B5" s="7"/>
      <x:c r="C5" s="22" t="str">
        <x:v>Item</x:v>
      </x:c>
      <x:c r="D5" s="22" t="str">
        <x:v>Value</x:v>
      </x:c>
      <x:c r="E5" s="22" t="str">
        <x:v>Unit</x:v>
      </x:c>
      <x:c r="F5" s="22" t="str">
        <x:v>Date / scope</x:v>
      </x:c>
      <x:c r="G5" s="22" t="str">
        <x:v>Source ID</x:v>
      </x:c>
      <x:c r="H5" s="22" t="str">
        <x:v>Use and limit</x:v>
      </x:c>
      <x:c r="I5" s="6"/>
    </x:row>
    <x:row r="6">
      <x:c r="A6" s="7"/>
      <x:c r="B6" s="7"/>
      <x:c r="C6" s="40" t="str">
        <x:v>CBK total capital adequacy</x:v>
      </x:c>
      <x:c r="D6" s="74" t="n">
        <x:v>0.207</x:v>
      </x:c>
      <x:c r="E6" s="24" t="str">
        <x:v>%</x:v>
      </x:c>
      <x:c r="F6" s="24" t="str">
        <x:v>Sector, FY2025</x:v>
      </x:c>
      <x:c r="G6" s="24" t="str">
        <x:v>CBK-2025</x:v>
      </x:c>
      <x:c r="H6" s="40" t="str">
        <x:v>Not an individual bank ratio</x:v>
      </x:c>
      <x:c r="I6" s="6"/>
    </x:row>
    <x:row r="7">
      <x:c r="A7" s="7"/>
      <x:c r="B7" s="7"/>
      <x:c r="C7" s="41" t="str">
        <x:v>CBK liquidity ratio</x:v>
      </x:c>
      <x:c r="D7" s="75" t="n">
        <x:v>0.593</x:v>
      </x:c>
      <x:c r="E7" s="25" t="str">
        <x:v>%</x:v>
      </x:c>
      <x:c r="F7" s="25" t="str">
        <x:v>Sector, FY2025</x:v>
      </x:c>
      <x:c r="G7" s="25" t="str">
        <x:v>CBK-2025</x:v>
      </x:c>
      <x:c r="H7" s="41" t="str">
        <x:v>Not a payout limit</x:v>
      </x:c>
      <x:c r="I7" s="6"/>
    </x:row>
    <x:row r="8">
      <x:c r="A8" s="7"/>
      <x:c r="B8" s="7"/>
      <x:c r="C8" s="41" t="str">
        <x:v>CBK gross NPL ratio</x:v>
      </x:c>
      <x:c r="D8" s="75" t="n">
        <x:v>0.16</x:v>
      </x:c>
      <x:c r="E8" s="25" t="str">
        <x:v>%</x:v>
      </x:c>
      <x:c r="F8" s="25" t="str">
        <x:v>Sector, FY2025</x:v>
      </x:c>
      <x:c r="G8" s="25" t="str">
        <x:v>CBK-2025</x:v>
      </x:c>
      <x:c r="H8" s="41" t="str">
        <x:v>System aggregate; issuer credit book differs</x:v>
      </x:c>
      <x:c r="I8" s="6"/>
    </x:row>
    <x:row r="9">
      <x:c r="A9" s="7"/>
      <x:c r="B9" s="7"/>
      <x:c r="C9" s="41" t="str">
        <x:v>Jubilee FY2025 net profit</x:v>
      </x:c>
      <x:c r="D9" s="47" t="n">
        <x:v>5.6</x:v>
      </x:c>
      <x:c r="E9" s="25" t="str">
        <x:v>KES bn</x:v>
      </x:c>
      <x:c r="F9" s="25" t="str">
        <x:v>Group, FY2025</x:v>
      </x:c>
      <x:c r="G9" s="25" t="str">
        <x:v>JUB-2025</x:v>
      </x:c>
      <x:c r="H9" s="41" t="str">
        <x:v>Issuer-reported; distinguish profit from regulated cash</x:v>
      </x:c>
      <x:c r="I9" s="6"/>
    </x:row>
    <x:row r="10">
      <x:c r="A10" s="7"/>
      <x:c r="B10" s="7"/>
      <x:c r="C10" s="41" t="str">
        <x:v>Jubilee FY2025 profit before tax</x:v>
      </x:c>
      <x:c r="D10" s="47" t="n">
        <x:v>7.2</x:v>
      </x:c>
      <x:c r="E10" s="25" t="str">
        <x:v>KES bn</x:v>
      </x:c>
      <x:c r="F10" s="25" t="str">
        <x:v>Group, FY2025</x:v>
      </x:c>
      <x:c r="G10" s="25" t="str">
        <x:v>JUB-2025</x:v>
      </x:c>
      <x:c r="H10" s="41" t="str">
        <x:v>Not interchangeable with net profit</x:v>
      </x:c>
      <x:c r="I10" s="6"/>
    </x:row>
    <x:row r="11">
      <x:c r="A11" s="7"/>
      <x:c r="B11" s="7"/>
      <x:c r="C11" s="42" t="str">
        <x:v>Jubilee gross premiums + deposit contributions</x:v>
      </x:c>
      <x:c r="D11" s="48" t="n">
        <x:v>62.4</x:v>
      </x:c>
      <x:c r="E11" s="26" t="str">
        <x:v>KES bn</x:v>
      </x:c>
      <x:c r="F11" s="26" t="str">
        <x:v>Group, FY2025</x:v>
      </x:c>
      <x:c r="G11" s="26" t="str">
        <x:v>JUB-2025</x:v>
      </x:c>
      <x:c r="H11" s="42" t="str">
        <x:v>Premium cash is linked to future service and claims</x:v>
      </x:c>
      <x:c r="I11" s="6"/>
    </x:row>
    <x:row r="12">
      <x:c r="A12" s="7"/>
      <x:c r="B12" s="7"/>
      <x:c r="C12" s="6"/>
      <x:c r="D12" s="6"/>
      <x:c r="E12" s="6"/>
      <x:c r="F12" s="6"/>
      <x:c r="G12" s="6"/>
      <x:c r="H12" s="6"/>
      <x:c r="I12" s="6"/>
    </x:row>
    <x:row r="13">
      <x:c r="A13" s="7"/>
      <x:c r="B13" s="7"/>
      <x:c r="C13" s="6"/>
      <x:c r="D13" s="6"/>
      <x:c r="E13" s="6"/>
      <x:c r="F13" s="6"/>
      <x:c r="G13" s="6"/>
      <x:c r="H13" s="6"/>
      <x:c r="I13" s="6"/>
    </x:row>
    <x:row r="14">
      <x:c r="A14" s="7"/>
      <x:c r="B14" s="7"/>
      <x:c r="C14" s="12" t="str">
        <x:v>Simplified bank capital illustration — KES billions, not statutory calculation</x:v>
      </x:c>
      <x:c r="D14" s="12"/>
      <x:c r="E14" s="12"/>
      <x:c r="F14" s="12"/>
      <x:c r="G14" s="12"/>
      <x:c r="H14" s="12"/>
      <x:c r="I14" s="6"/>
    </x:row>
    <x:row r="15" ht="30" customHeight="1">
      <x:c r="A15" s="7"/>
      <x:c r="B15" s="7"/>
      <x:c r="C15" s="22" t="str">
        <x:v>Driver</x:v>
      </x:c>
      <x:c r="D15" s="22" t="str">
        <x:v>Input / result</x:v>
      </x:c>
      <x:c r="E15" s="22" t="str">
        <x:v>Unit</x:v>
      </x:c>
      <x:c r="F15" s="22" t="str">
        <x:v>Treatment</x:v>
      </x:c>
      <x:c r="G15" s="6"/>
      <x:c r="H15" s="6"/>
      <x:c r="I15" s="6"/>
    </x:row>
    <x:row r="16">
      <x:c r="A16" s="7"/>
      <x:c r="B16" s="7"/>
      <x:c r="C16" s="40" t="str">
        <x:v>Opening eligible capital</x:v>
      </x:c>
      <x:c r="D16" s="30" t="n">
        <x:v>100</x:v>
      </x:c>
      <x:c r="E16" s="24" t="str">
        <x:v>KES bn</x:v>
      </x:c>
      <x:c r="F16" s="40" t="str">
        <x:v>Illustrative input</x:v>
      </x:c>
      <x:c r="G16" s="6"/>
      <x:c r="H16" s="6"/>
      <x:c r="I16" s="6"/>
    </x:row>
    <x:row r="17">
      <x:c r="A17" s="7"/>
      <x:c r="B17" s="7"/>
      <x:c r="C17" s="41" t="str">
        <x:v>Opening risk-weighted assets</x:v>
      </x:c>
      <x:c r="D17" s="31" t="n">
        <x:v>500</x:v>
      </x:c>
      <x:c r="E17" s="25" t="str">
        <x:v>KES bn</x:v>
      </x:c>
      <x:c r="F17" s="41" t="str">
        <x:v>Illustrative input</x:v>
      </x:c>
      <x:c r="G17" s="6"/>
      <x:c r="H17" s="6"/>
      <x:c r="I17" s="6"/>
    </x:row>
    <x:row r="18">
      <x:c r="A18" s="7"/>
      <x:c r="B18" s="7"/>
      <x:c r="C18" s="41" t="str">
        <x:v>After-tax earnings</x:v>
      </x:c>
      <x:c r="D18" s="31" t="n">
        <x:v>20</x:v>
      </x:c>
      <x:c r="E18" s="25" t="str">
        <x:v>KES bn</x:v>
      </x:c>
      <x:c r="F18" s="41" t="str">
        <x:v>Illustrative input</x:v>
      </x:c>
      <x:c r="G18" s="6"/>
      <x:c r="H18" s="6"/>
      <x:c r="I18" s="6"/>
    </x:row>
    <x:row r="19">
      <x:c r="A19" s="7"/>
      <x:c r="B19" s="7"/>
      <x:c r="C19" s="41" t="str">
        <x:v>Dividend</x:v>
      </x:c>
      <x:c r="D19" s="31" t="n">
        <x:v>10</x:v>
      </x:c>
      <x:c r="E19" s="25" t="str">
        <x:v>KES bn</x:v>
      </x:c>
      <x:c r="F19" s="41" t="str">
        <x:v>Illustrative input</x:v>
      </x:c>
      <x:c r="G19" s="6"/>
      <x:c r="H19" s="6"/>
      <x:c r="I19" s="6"/>
    </x:row>
    <x:row r="20">
      <x:c r="A20" s="7"/>
      <x:c r="B20" s="7"/>
      <x:c r="C20" s="41" t="str">
        <x:v>RWA growth</x:v>
      </x:c>
      <x:c r="D20" s="36" t="n">
        <x:v>0.12</x:v>
      </x:c>
      <x:c r="E20" s="25" t="str">
        <x:v>%</x:v>
      </x:c>
      <x:c r="F20" s="41" t="str">
        <x:v>Illustrative input</x:v>
      </x:c>
      <x:c r="G20" s="6"/>
      <x:c r="H20" s="6"/>
      <x:c r="I20" s="6"/>
    </x:row>
    <x:row r="21">
      <x:c r="A21" s="7"/>
      <x:c r="B21" s="7"/>
      <x:c r="C21" s="41" t="str">
        <x:v>Operating capital floor</x:v>
      </x:c>
      <x:c r="D21" s="36" t="n">
        <x:v>0.18</x:v>
      </x:c>
      <x:c r="E21" s="25" t="str">
        <x:v>%</x:v>
      </x:c>
      <x:c r="F21" s="41" t="str">
        <x:v>Illustrative internal floor</x:v>
      </x:c>
      <x:c r="G21" s="6"/>
      <x:c r="H21" s="6"/>
      <x:c r="I21" s="6"/>
    </x:row>
    <x:row r="22">
      <x:c r="A22" s="7"/>
      <x:c r="B22" s="7"/>
      <x:c r="C22" s="41" t="str">
        <x:v>Closing capital ratio</x:v>
      </x:c>
      <x:c r="D22" s="76" t="n">
        <x:f>(D16+D18-D19)/(D17*(1+D20))</x:f>
        <x:v>0.19642857142857142</x:v>
      </x:c>
      <x:c r="E22" s="25" t="str">
        <x:v>%</x:v>
      </x:c>
      <x:c r="F22" s="41" t="str">
        <x:v>Simplified proxy</x:v>
      </x:c>
      <x:c r="G22" s="6"/>
      <x:c r="H22" s="6"/>
      <x:c r="I22" s="6"/>
    </x:row>
    <x:row r="23">
      <x:c r="A23" s="7"/>
      <x:c r="B23" s="7"/>
      <x:c r="C23" s="42" t="str">
        <x:v>Headroom above floor</x:v>
      </x:c>
      <x:c r="D23" s="77" t="n">
        <x:f>(D16+D18-D19)-D21*D17*(1+D20)</x:f>
        <x:v>9.199999999999989</x:v>
      </x:c>
      <x:c r="E23" s="26" t="str">
        <x:v>KES bn</x:v>
      </x:c>
      <x:c r="F23" s="42" t="str">
        <x:v>Not statutory distributable amount</x:v>
      </x:c>
      <x:c r="G23" s="6"/>
      <x:c r="H23" s="6"/>
      <x:c r="I23" s="6"/>
    </x:row>
    <x:row r="24">
      <x:c r="A24" s="7"/>
      <x:c r="B24" s="7"/>
      <x:c r="C24" s="6"/>
      <x:c r="D24" s="6"/>
      <x:c r="E24" s="6"/>
      <x:c r="F24" s="6"/>
      <x:c r="G24" s="6"/>
      <x:c r="H24" s="6"/>
      <x:c r="I24" s="6"/>
    </x:row>
    <x:row r="25">
      <x:c r="A25" s="7"/>
      <x:c r="B25" s="7"/>
      <x:c r="C25" s="6"/>
      <x:c r="D25" s="6"/>
      <x:c r="E25" s="6"/>
      <x:c r="F25" s="6"/>
      <x:c r="G25" s="6"/>
      <x:c r="H25" s="6"/>
      <x:c r="I25" s="6"/>
    </x:row>
    <x:row r="26">
      <x:c r="A26" s="7"/>
      <x:c r="B26" s="7"/>
      <x:c r="C26" s="6"/>
      <x:c r="D26" s="6"/>
      <x:c r="E26" s="6"/>
      <x:c r="F26" s="6"/>
      <x:c r="G26" s="6"/>
      <x:c r="H26" s="6"/>
      <x:c r="I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2" hidden="0" customWidth="1"/>
    <x:col min="4" max="4" width="20" hidden="0" customWidth="1"/>
    <x:col min="5" max="5" width="24" hidden="0" customWidth="1"/>
    <x:col min="6" max="6" width="17" hidden="0" customWidth="1"/>
    <x:col min="7" max="7" width="24" hidden="0" customWidth="1"/>
    <x:col min="8" max="8" width="17" hidden="0" customWidth="1"/>
    <x:col min="9" max="9" width="25" hidden="0" customWidth="1"/>
    <x:col min="10" max="10" width="17" hidden="0" customWidth="1"/>
    <x:col min="11" max="11" width="24" hidden="0" customWidth="1"/>
    <x:col min="12" max="12" width="56" hidden="0" customWidth="1"/>
    <x:col min="13" max="13" width="22" hidden="0" customWidth="1"/>
  </x:cols>
  <x:sheetData>
    <x:row r="1" ht="25" customHeight="1">
      <x:c r="A1" s="7"/>
      <x:c r="B1" s="7"/>
      <x:c r="C1" s="4" t="str">
        <x:v>NSE seven-sector evidence matrix</x:v>
      </x:c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7"/>
      <x:c r="B2" s="7"/>
      <x:c r="C2" s="5" t="str">
        <x:v>Issuer figures retain their own periods, units and claims. Where the public source does not support a figure, enter it from the cited report rather than using a sector proxy.</x:v>
      </x:c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7"/>
      <x:c r="B4" s="7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30" customHeight="1">
      <x:c r="A5" s="7"/>
      <x:c r="B5" s="7"/>
      <x:c r="C5" s="22" t="str">
        <x:v>Issuer</x:v>
      </x:c>
      <x:c r="D5" s="22" t="str">
        <x:v>Period</x:v>
      </x:c>
      <x:c r="E5" s="22" t="str">
        <x:v>Measure 1</x:v>
      </x:c>
      <x:c r="F5" s="22" t="str">
        <x:v>Value 1</x:v>
      </x:c>
      <x:c r="G5" s="22" t="str">
        <x:v>Measure 2</x:v>
      </x:c>
      <x:c r="H5" s="22" t="str">
        <x:v>Value 2</x:v>
      </x:c>
      <x:c r="I5" s="22" t="str">
        <x:v>Measure 3</x:v>
      </x:c>
      <x:c r="J5" s="22" t="str">
        <x:v>Value 3</x:v>
      </x:c>
      <x:c r="K5" s="22" t="str">
        <x:v>Unit</x:v>
      </x:c>
      <x:c r="L5" s="22" t="str">
        <x:v>Owner-earnings question</x:v>
      </x:c>
      <x:c r="M5" s="22" t="str">
        <x:v>Source ID</x:v>
      </x:c>
    </x:row>
    <x:row r="6">
      <x:c r="A6" s="7"/>
      <x:c r="B6" s="7"/>
      <x:c r="C6" s="40" t="str">
        <x:v>Equity Group</x:v>
      </x:c>
      <x:c r="D6" s="24" t="str">
        <x:v>FY2025</x:v>
      </x:c>
      <x:c r="E6" s="40" t="str">
        <x:v>Profit after tax</x:v>
      </x:c>
      <x:c r="F6" s="46" t="n">
        <x:v>75.5</x:v>
      </x:c>
      <x:c r="G6" s="40" t="str">
        <x:v>Net loans</x:v>
      </x:c>
      <x:c r="H6" s="46" t="n">
        <x:v>882.5</x:v>
      </x:c>
      <x:c r="I6" s="40" t="str">
        <x:v>Proposed dividend</x:v>
      </x:c>
      <x:c r="J6" s="46" t="n">
        <x:v>21.7</x:v>
      </x:c>
      <x:c r="K6" s="24" t="str">
        <x:v>KES bn</x:v>
      </x:c>
      <x:c r="L6" s="40" t="str">
        <x:v>Bank capital, credit cost and growth</x:v>
      </x:c>
      <x:c r="M6" s="40" t="str">
        <x:v>EQUITY-25</x:v>
      </x:c>
    </x:row>
    <x:row r="7">
      <x:c r="A7" s="7"/>
      <x:c r="B7" s="7"/>
      <x:c r="C7" s="41" t="str">
        <x:v>Jubilee Holdings</x:v>
      </x:c>
      <x:c r="D7" s="25" t="str">
        <x:v>FY2025</x:v>
      </x:c>
      <x:c r="E7" s="41" t="str">
        <x:v>Net profit</x:v>
      </x:c>
      <x:c r="F7" s="47" t="n">
        <x:v>5.6</x:v>
      </x:c>
      <x:c r="G7" s="41" t="str">
        <x:v>Profit before tax</x:v>
      </x:c>
      <x:c r="H7" s="47" t="n">
        <x:v>7.2</x:v>
      </x:c>
      <x:c r="I7" s="41" t="str">
        <x:v>Premiums + contributions</x:v>
      </x:c>
      <x:c r="J7" s="47" t="n">
        <x:v>62.4</x:v>
      </x:c>
      <x:c r="K7" s="25" t="str">
        <x:v>KES bn</x:v>
      </x:c>
      <x:c r="L7" s="41" t="str">
        <x:v>Claims, service result, solvency</x:v>
      </x:c>
      <x:c r="M7" s="41" t="str">
        <x:v>JUB-2025</x:v>
      </x:c>
    </x:row>
    <x:row r="8">
      <x:c r="A8" s="7"/>
      <x:c r="B8" s="7"/>
      <x:c r="C8" s="41" t="str">
        <x:v>KenGen</x:v>
      </x:c>
      <x:c r="D8" s="25" t="str">
        <x:v>FY2025</x:v>
      </x:c>
      <x:c r="E8" s="41" t="str">
        <x:v>Profit after tax</x:v>
      </x:c>
      <x:c r="F8" s="47" t="n">
        <x:v>10.481</x:v>
      </x:c>
      <x:c r="G8" s="41" t="str">
        <x:v>Capital investment</x:v>
      </x:c>
      <x:c r="H8" s="47" t="n">
        <x:v>17.733</x:v>
      </x:c>
      <x:c r="I8" s="41" t="str">
        <x:v>Cash and equivalents</x:v>
      </x:c>
      <x:c r="J8" s="47" t="n">
        <x:v>30.124</x:v>
      </x:c>
      <x:c r="K8" s="25" t="str">
        <x:v>KES bn</x:v>
      </x:c>
      <x:c r="L8" s="41" t="str">
        <x:v>Plant renewal, projects, collections</x:v>
      </x:c>
      <x:c r="M8" s="41" t="str">
        <x:v>KENGEN-25</x:v>
      </x:c>
    </x:row>
    <x:row r="9">
      <x:c r="A9" s="7"/>
      <x:c r="B9" s="7"/>
      <x:c r="C9" s="41" t="str">
        <x:v>Kakuzi</x:v>
      </x:c>
      <x:c r="D9" s="25" t="str">
        <x:v>FY2025</x:v>
      </x:c>
      <x:c r="E9" s="41" t="str">
        <x:v>Revenue</x:v>
      </x:c>
      <x:c r="F9" s="47" t="n">
        <x:v>5.368622</x:v>
      </x:c>
      <x:c r="G9" s="41" t="str">
        <x:v>Profit before tax</x:v>
      </x:c>
      <x:c r="H9" s="47" t="n">
        <x:v>0.568417</x:v>
      </x:c>
      <x:c r="I9" s="41" t="str">
        <x:v>Dividend per share</x:v>
      </x:c>
      <x:c r="J9" s="47" t="n">
        <x:v>16</x:v>
      </x:c>
      <x:c r="K9" s="25" t="str">
        <x:v>KES bn except DPS</x:v>
      </x:c>
      <x:c r="L9" s="41" t="str">
        <x:v>Crop realization, biological assets, seasonality</x:v>
      </x:c>
      <x:c r="M9" s="41" t="str">
        <x:v>KAKUZI-25</x:v>
      </x:c>
    </x:row>
    <x:row r="10">
      <x:c r="A10" s="7"/>
      <x:c r="B10" s="7"/>
      <x:c r="C10" s="41" t="str">
        <x:v>Safaricom</x:v>
      </x:c>
      <x:c r="D10" s="25" t="str">
        <x:v>FY2026</x:v>
      </x:c>
      <x:c r="E10" s="41" t="str">
        <x:v>Service revenue</x:v>
      </x:c>
      <x:c r="F10" s="47" t="n">
        <x:v>414.1</x:v>
      </x:c>
      <x:c r="G10" s="41" t="str">
        <x:v>Cash / capex</x:v>
      </x:c>
      <x:c r="H10" s="47"/>
      <x:c r="I10" s="41" t="str">
        <x:v>Segment cash bridge</x:v>
      </x:c>
      <x:c r="J10" s="47"/>
      <x:c r="K10" s="25" t="str">
        <x:v>KES bn</x:v>
      </x:c>
      <x:c r="L10" s="41" t="str">
        <x:v>Network, Ethiopia, leases and mobile money</x:v>
      </x:c>
      <x:c r="M10" s="41" t="str">
        <x:v>SAF-FY26</x:v>
      </x:c>
    </x:row>
    <x:row r="11">
      <x:c r="A11" s="7"/>
      <x:c r="B11" s="7"/>
      <x:c r="C11" s="41" t="str">
        <x:v>BAT Kenya</x:v>
      </x:c>
      <x:c r="D11" s="25" t="str">
        <x:v>FY2025</x:v>
      </x:c>
      <x:c r="E11" s="41" t="str">
        <x:v>Net revenue</x:v>
      </x:c>
      <x:c r="F11" s="47" t="n">
        <x:v>23.192</x:v>
      </x:c>
      <x:c r="G11" s="41" t="str">
        <x:v>Operating cash</x:v>
      </x:c>
      <x:c r="H11" s="47" t="n">
        <x:v>6.642</x:v>
      </x:c>
      <x:c r="I11" s="41" t="str">
        <x:v>Dividend per share</x:v>
      </x:c>
      <x:c r="J11" s="47" t="n">
        <x:v>70</x:v>
      </x:c>
      <x:c r="K11" s="25" t="str">
        <x:v>KES bn except DPS</x:v>
      </x:c>
      <x:c r="L11" s="41" t="str">
        <x:v>Tax, volume, cash conversion, replacement</x:v>
      </x:c>
      <x:c r="M11" s="41" t="str">
        <x:v>BAT-25</x:v>
      </x:c>
    </x:row>
    <x:row r="12">
      <x:c r="A12" s="7"/>
      <x:c r="B12" s="7"/>
      <x:c r="C12" s="42" t="str">
        <x:v>Home Afrika</x:v>
      </x:c>
      <x:c r="D12" s="26" t="str">
        <x:v>FY2025 / H1 2026</x:v>
      </x:c>
      <x:c r="E12" s="42" t="str">
        <x:v>Project-level owner cash</x:v>
      </x:c>
      <x:c r="F12" s="48"/>
      <x:c r="G12" s="42" t="str">
        <x:v>Cost to complete</x:v>
      </x:c>
      <x:c r="H12" s="48"/>
      <x:c r="I12" s="42" t="str">
        <x:v>Collections by entity</x:v>
      </x:c>
      <x:c r="J12" s="48"/>
      <x:c r="K12" s="26" t="str">
        <x:v>Not yet entered</x:v>
      </x:c>
      <x:c r="L12" s="42" t="str">
        <x:v>Land, construction, debt, handover</x:v>
      </x:c>
      <x:c r="M12" s="42" t="str">
        <x:v>HOME-25 / HOME-H1</x:v>
      </x:c>
    </x:row>
    <x:row r="13">
      <x:c r="A13" s="7"/>
      <x:c r="B13" s="7"/>
      <x:c r="C13" s="6"/>
      <x:c r="D13" s="6"/>
      <x:c r="E13" s="6"/>
      <x:c r="F13" s="6"/>
      <x:c r="G13" s="6"/>
      <x:c r="H13" s="6"/>
      <x:c r="I13" s="6"/>
      <x:c r="J13" s="6"/>
      <x:c r="K13" s="6"/>
      <x:c r="L13" s="6"/>
    </x:row>
    <x:row r="14">
      <x:c r="A14" s="7"/>
      <x:c r="B14" s="7"/>
      <x:c r="C14" s="6"/>
      <x:c r="D14" s="6"/>
      <x:c r="E14" s="6"/>
      <x:c r="F14" s="6"/>
      <x:c r="G14" s="6"/>
      <x:c r="H14" s="6"/>
      <x:c r="I14" s="6"/>
      <x:c r="J14" s="6"/>
      <x:c r="K14" s="6"/>
      <x:c r="L14" s="6"/>
    </x:row>
    <x:row r="15">
      <x:c r="A15" s="7"/>
      <x:c r="B15" s="7"/>
      <x:c r="C15" s="12" t="str">
        <x:v>Comparability check</x:v>
      </x:c>
      <x:c r="D15" s="12" t="str">
        <x:v>Status</x:v>
      </x:c>
      <x:c r="E15" s="12" t="str">
        <x:v>Required action</x:v>
      </x:c>
      <x:c r="F15" s="12" t="str">
        <x:v>Why it matters</x:v>
      </x:c>
      <x:c r="G15" s="6"/>
      <x:c r="H15" s="6"/>
      <x:c r="I15" s="6"/>
      <x:c r="J15" s="6"/>
      <x:c r="K15" s="6"/>
      <x:c r="L15" s="6"/>
    </x:row>
    <x:row r="16">
      <x:c r="A16" s="7"/>
      <x:c r="B16" s="7"/>
      <x:c r="C16" s="15" t="str">
        <x:v>Same fiscal period / entity</x:v>
      </x:c>
      <x:c r="D16" s="15" t="str">
        <x:v>Review</x:v>
      </x:c>
      <x:c r="E16" s="15" t="str">
        <x:v>Confirm report, consolidation scope and currency</x:v>
      </x:c>
      <x:c r="F16" s="15" t="str">
        <x:v>Prevents accidental cross-period ranking</x:v>
      </x:c>
      <x:c r="G16" s="6"/>
      <x:c r="H16" s="6"/>
      <x:c r="I16" s="6"/>
      <x:c r="J16" s="6"/>
      <x:c r="K16" s="6"/>
      <x:c r="L16" s="6"/>
    </x:row>
    <x:row r="17">
      <x:c r="A17" s="7"/>
      <x:c r="B17" s="7"/>
      <x:c r="C17" s="15" t="str">
        <x:v>Owner-earnings split disclosed</x:v>
      </x:c>
      <x:c r="D17" s="15" t="str">
        <x:v>Often incomplete</x:v>
      </x:c>
      <x:c r="E17" s="15" t="str">
        <x:v>Keep estimates and reported totals distinct</x:v>
      </x:c>
      <x:c r="F17" s="15" t="str">
        <x:v>Total capex or profit is not a maintenance or payout answer</x:v>
      </x:c>
      <x:c r="G17" s="6"/>
      <x:c r="H17" s="6"/>
      <x:c r="I17" s="6"/>
      <x:c r="J17" s="6"/>
      <x:c r="K17" s="6"/>
      <x:c r="L17" s="6"/>
    </x:row>
    <x:row r="18">
      <x:c r="A18" s="7"/>
      <x:c r="B18" s="7"/>
      <x:c r="C18" s="6"/>
      <x:c r="D18" s="6"/>
      <x:c r="E18" s="6"/>
      <x:c r="F18" s="6"/>
      <x:c r="G18" s="6"/>
      <x:c r="H18" s="6"/>
      <x:c r="I18" s="6"/>
      <x:c r="J18" s="6"/>
      <x:c r="K18" s="6"/>
      <x:c r="L18" s="6"/>
    </x:row>
    <x:row r="19">
      <x:c r="A19" s="7"/>
      <x:c r="B19" s="7"/>
      <x:c r="C19" s="6"/>
      <x:c r="D19" s="6"/>
      <x:c r="E19" s="6"/>
      <x:c r="F19" s="6"/>
      <x:c r="G19" s="6"/>
      <x:c r="H19" s="6"/>
      <x:c r="I19" s="6"/>
      <x:c r="J19" s="6"/>
      <x:c r="K19" s="6"/>
      <x:c r="L19" s="6"/>
    </x:row>
    <x:row r="20">
      <x:c r="A20" s="7"/>
      <x:c r="B20" s="7"/>
      <x:c r="C20" s="6"/>
      <x:c r="D20" s="6"/>
      <x:c r="E20" s="6"/>
      <x:c r="F20" s="6"/>
      <x:c r="G20" s="6"/>
      <x:c r="H20" s="6"/>
      <x:c r="I20" s="6"/>
      <x:c r="J20" s="6"/>
      <x:c r="K20" s="6"/>
      <x:c r="L20" s="6"/>
    </x:row>
    <x:row r="21">
      <x:c r="A21" s="7"/>
      <x:c r="B21" s="7"/>
      <x:c r="C21" s="6"/>
      <x:c r="D21" s="6"/>
      <x:c r="E21" s="6"/>
      <x:c r="F21" s="6"/>
      <x:c r="G21" s="6"/>
      <x:c r="H21" s="6"/>
      <x:c r="I21" s="6"/>
      <x:c r="J21" s="6"/>
      <x:c r="K21" s="6"/>
      <x:c r="L21" s="6"/>
    </x:row>
    <x:row r="22">
      <x:c r="A22" s="7"/>
      <x:c r="B22" s="7"/>
      <x:c r="C22" s="6"/>
      <x:c r="D22" s="6"/>
      <x:c r="E22" s="6"/>
      <x:c r="F22" s="6"/>
      <x:c r="G22" s="6"/>
      <x:c r="H22" s="6"/>
      <x:c r="I22" s="6"/>
      <x:c r="J22" s="6"/>
      <x:c r="K22" s="6"/>
      <x:c r="L22" s="6"/>
    </x:row>
    <x:row r="23">
      <x:c r="A23" s="7"/>
      <x:c r="B23" s="7"/>
      <x:c r="C23" s="6"/>
      <x:c r="D23" s="6"/>
      <x:c r="E23" s="6"/>
      <x:c r="F23" s="6"/>
      <x:c r="G23" s="6"/>
      <x:c r="H23" s="6"/>
      <x:c r="I23" s="6"/>
      <x:c r="J23" s="6"/>
      <x:c r="K23" s="6"/>
      <x:c r="L23" s="6"/>
    </x:row>
    <x:row r="24">
      <x:c r="A24" s="7"/>
      <x:c r="B24" s="7"/>
      <x:c r="C24" s="6"/>
      <x:c r="D24" s="6"/>
      <x:c r="E24" s="6"/>
      <x:c r="F24" s="6"/>
      <x:c r="G24" s="6"/>
      <x:c r="H24" s="6"/>
      <x:c r="I24" s="6"/>
      <x:c r="J24" s="6"/>
      <x:c r="K24" s="6"/>
      <x:c r="L24" s="6"/>
    </x:row>
    <x:row r="25">
      <x:c r="A25" s="7"/>
      <x:c r="B25" s="7"/>
      <x:c r="C25" s="6"/>
      <x:c r="D25" s="6"/>
      <x:c r="E25" s="6"/>
      <x:c r="F25" s="6"/>
      <x:c r="G25" s="6"/>
      <x:c r="H25" s="6"/>
      <x:c r="I25" s="6"/>
      <x:c r="J25" s="6"/>
      <x:c r="K25" s="6"/>
      <x:c r="L25" s="6"/>
    </x:row>
    <x:row r="26">
      <x:c r="A26" s="7"/>
      <x:c r="B26" s="7"/>
      <x:c r="C26" s="6"/>
      <x:c r="D26" s="6"/>
      <x:c r="E26" s="6"/>
      <x:c r="F26" s="6"/>
      <x:c r="G26" s="6"/>
      <x:c r="H26" s="6"/>
      <x:c r="I26" s="6"/>
      <x:c r="J26" s="6"/>
      <x:c r="K26" s="6"/>
      <x:c r="L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  <x:c r="J27" s="6"/>
      <x:c r="K27" s="6"/>
      <x:c r="L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  <x:c r="J28" s="6"/>
      <x:c r="K28" s="6"/>
      <x:c r="L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  <x:c r="J29" s="6"/>
      <x:c r="K29" s="6"/>
      <x:c r="L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  <x:c r="J30" s="6"/>
      <x:c r="K30" s="6"/>
      <x:c r="L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  <x:c r="J31" s="6"/>
      <x:c r="K31" s="6"/>
      <x:c r="L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  <x:c r="J32" s="6"/>
      <x:c r="K32" s="6"/>
      <x:c r="L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  <x:c r="J33" s="6"/>
      <x:c r="K33" s="6"/>
      <x:c r="L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  <x:c r="J34" s="6"/>
      <x:c r="K34" s="6"/>
      <x:c r="L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  <x:c r="J35" s="6"/>
      <x:c r="K35" s="6"/>
      <x:c r="L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  <x:c r="J36" s="6"/>
      <x:c r="K36" s="6"/>
      <x:c r="L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  <x:c r="J37" s="6"/>
      <x:c r="K37" s="6"/>
      <x:c r="L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  <x:c r="J38" s="6"/>
      <x:c r="K38" s="6"/>
      <x:c r="L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  <x:c r="J39" s="6"/>
      <x:c r="K39" s="6"/>
      <x:c r="L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  <x:c r="J40" s="6"/>
      <x:c r="K40" s="6"/>
      <x:c r="L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  <x:c r="J41" s="6"/>
      <x:c r="K41" s="6"/>
      <x:c r="L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  <x:c r="J42" s="6"/>
      <x:c r="K42" s="6"/>
      <x:c r="L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  <x:c r="J43" s="6"/>
      <x:c r="K43" s="6"/>
      <x:c r="L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  <x:c r="J44" s="6"/>
      <x:c r="K44" s="6"/>
      <x:c r="L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  <x:c r="J45" s="6"/>
      <x:c r="K45" s="6"/>
      <x:c r="L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  <x:c r="J46" s="6"/>
      <x:c r="K46" s="6"/>
      <x:c r="L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  <x:c r="J47" s="6"/>
      <x:c r="K47" s="6"/>
      <x:c r="L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  <x:c r="J48" s="6"/>
      <x:c r="K48" s="6"/>
      <x:c r="L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  <x:c r="J49" s="6"/>
      <x:c r="K49" s="6"/>
      <x:c r="L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  <x:c r="J50" s="6"/>
      <x:c r="K50" s="6"/>
      <x:c r="L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  <x:c r="J51" s="6"/>
      <x:c r="K51" s="6"/>
      <x:c r="L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  <x:c r="J52" s="6"/>
      <x:c r="K52" s="6"/>
      <x:c r="L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  <x:c r="J53" s="6"/>
      <x:c r="K53" s="6"/>
      <x:c r="L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  <x:c r="J54" s="6"/>
      <x:c r="K54" s="6"/>
      <x:c r="L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  <x:c r="J55" s="6"/>
      <x:c r="K55" s="6"/>
      <x:c r="L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  <x:c r="J56" s="6"/>
      <x:c r="K56" s="6"/>
      <x:c r="L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  <x:c r="J57" s="6"/>
      <x:c r="K57" s="6"/>
      <x:c r="L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  <x:c r="J58" s="6"/>
      <x:c r="K58" s="6"/>
      <x:c r="L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  <x:c r="J59" s="6"/>
      <x:c r="K59" s="6"/>
      <x:c r="L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  <x:c r="J60" s="6"/>
      <x:c r="K60" s="6"/>
      <x:c r="L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  <x:c r="J61" s="6"/>
      <x:c r="K61" s="6"/>
      <x:c r="L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  <x:c r="J62" s="6"/>
      <x:c r="K62" s="6"/>
      <x:c r="L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  <x:c r="J63" s="6"/>
      <x:c r="K63" s="6"/>
      <x:c r="L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  <x:c r="J64" s="6"/>
      <x:c r="K64" s="6"/>
      <x:c r="L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  <x:c r="J65" s="6"/>
      <x:c r="K65" s="6"/>
      <x:c r="L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  <x:c r="J66" s="6"/>
      <x:c r="K66" s="6"/>
      <x:c r="L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  <x:c r="J67" s="6"/>
      <x:c r="K67" s="6"/>
      <x:c r="L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  <x:c r="J68" s="6"/>
      <x:c r="K68" s="6"/>
      <x:c r="L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  <x:c r="J69" s="6"/>
      <x:c r="K69" s="6"/>
      <x:c r="L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  <x:c r="J70" s="6"/>
      <x:c r="K70" s="6"/>
      <x:c r="L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  <x:c r="J71" s="6"/>
      <x:c r="K71" s="6"/>
      <x:c r="L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  <x:c r="J72" s="6"/>
      <x:c r="K72" s="6"/>
      <x:c r="L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  <x:c r="J73" s="6"/>
      <x:c r="K73" s="6"/>
      <x:c r="L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  <x:c r="J74" s="6"/>
      <x:c r="K74" s="6"/>
      <x:c r="L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  <x:c r="J75" s="6"/>
      <x:c r="K75" s="6"/>
      <x:c r="L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  <x:c r="J76" s="6"/>
      <x:c r="K76" s="6"/>
      <x:c r="L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  <x:c r="J77" s="6"/>
      <x:c r="K77" s="6"/>
      <x:c r="L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  <x:c r="J78" s="6"/>
      <x:c r="K78" s="6"/>
      <x:c r="L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  <x:c r="J79" s="6"/>
      <x:c r="K79" s="6"/>
      <x:c r="L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  <x:c r="J80" s="6"/>
      <x:c r="K80" s="6"/>
      <x:c r="L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  <x:c r="J81" s="6"/>
      <x:c r="K81" s="6"/>
      <x:c r="L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  <x:c r="J82" s="6"/>
      <x:c r="K82" s="6"/>
      <x:c r="L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  <x:c r="J83" s="6"/>
      <x:c r="K83" s="6"/>
      <x:c r="L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  <x:c r="J84" s="6"/>
      <x:c r="K84" s="6"/>
      <x:c r="L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  <x:c r="J85" s="6"/>
      <x:c r="K85" s="6"/>
      <x:c r="L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  <x:c r="J86" s="6"/>
      <x:c r="K86" s="6"/>
      <x:c r="L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  <x:c r="J87" s="6"/>
      <x:c r="K87" s="6"/>
      <x:c r="L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  <x:c r="J88" s="6"/>
      <x:c r="K88" s="6"/>
      <x:c r="L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  <x:c r="J89" s="6"/>
      <x:c r="K89" s="6"/>
      <x:c r="L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  <x:c r="J90" s="6"/>
      <x:c r="K90" s="6"/>
      <x:c r="L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  <x:c r="J91" s="6"/>
      <x:c r="K91" s="6"/>
      <x:c r="L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  <x:c r="J92" s="6"/>
      <x:c r="K92" s="6"/>
      <x:c r="L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  <x:c r="J93" s="6"/>
      <x:c r="K93" s="6"/>
      <x:c r="L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  <x:c r="J94" s="6"/>
      <x:c r="K94" s="6"/>
      <x:c r="L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  <x:c r="J95" s="6"/>
      <x:c r="K95" s="6"/>
      <x:c r="L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  <x:c r="J96" s="6"/>
      <x:c r="K96" s="6"/>
      <x:c r="L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  <x:c r="J97" s="6"/>
      <x:c r="K97" s="6"/>
      <x:c r="L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  <x:c r="J98" s="6"/>
      <x:c r="K98" s="6"/>
      <x:c r="L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  <x:c r="J99" s="6"/>
      <x:c r="K99" s="6"/>
      <x:c r="L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9" hidden="0" customWidth="1"/>
    <x:col min="4" max="4" width="22" hidden="0" customWidth="1"/>
    <x:col min="5" max="5" width="18" hidden="0" customWidth="1"/>
    <x:col min="6" max="6" width="67" hidden="0" customWidth="1"/>
  </x:cols>
  <x:sheetData>
    <x:row r="1" ht="25" customHeight="1">
      <x:c r="A1" s="7"/>
      <x:c r="B1" s="7"/>
      <x:c r="C1" s="4" t="str">
        <x:v>Owner-earnings valuation range</x:v>
      </x:c>
      <x:c r="D1" s="4"/>
      <x:c r="E1" s="4"/>
      <x:c r="F1" s="4"/>
      <x:c r="G1" s="4"/>
      <x:c r="H1" s="4"/>
      <x:c r="I1" s="4"/>
      <x:c r="J1" s="4"/>
    </x:row>
    <x:row r="2">
      <x:c r="A2" s="7"/>
      <x:c r="B2" s="7"/>
      <x:c r="C2" s="5" t="str">
        <x:v>A five-year equity cash model is available when the owner-earnings estimate, diluted shares and dated market price are supported.</x:v>
      </x:c>
      <x:c r="D2" s="5"/>
      <x:c r="E2" s="5"/>
      <x:c r="F2" s="5"/>
      <x:c r="G2" s="5"/>
      <x:c r="H2" s="5"/>
      <x:c r="I2" s="5"/>
      <x:c r="J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  <x:c r="J3" s="6"/>
    </x:row>
    <x:row r="4">
      <x:c r="A4" s="7"/>
      <x:c r="B4" s="7"/>
      <x:c r="C4" s="6"/>
      <x:c r="D4" s="6"/>
      <x:c r="E4" s="6"/>
      <x:c r="F4" s="6"/>
      <x:c r="G4" s="6"/>
      <x:c r="H4" s="6"/>
      <x:c r="I4" s="6"/>
      <x:c r="J4" s="6"/>
    </x:row>
    <x:row r="5" ht="30" customHeight="1">
      <x:c r="A5" s="7"/>
      <x:c r="B5" s="7"/>
      <x:c r="C5" s="22" t="str">
        <x:v>Input / output</x:v>
      </x:c>
      <x:c r="D5" s="22" t="str">
        <x:v>Value</x:v>
      </x:c>
      <x:c r="E5" s="22" t="str">
        <x:v>Unit</x:v>
      </x:c>
      <x:c r="F5" s="22" t="str">
        <x:v>Evidence / rule</x:v>
      </x:c>
      <x:c r="G5" s="6"/>
      <x:c r="H5" s="6"/>
      <x:c r="I5" s="6"/>
      <x:c r="J5" s="6"/>
    </x:row>
    <x:row r="6">
      <x:c r="A6" s="7"/>
      <x:c r="B6" s="7"/>
      <x:c r="C6" s="40" t="str">
        <x:v>Starting owner earnings</x:v>
      </x:c>
      <x:c r="D6" s="49" t="n">
        <x:f>'NVDA Bridge'!D12</x:f>
        <x:v>0</x:v>
      </x:c>
      <x:c r="E6" s="24" t="str">
        <x:v>USD bn</x:v>
      </x:c>
      <x:c r="F6" s="40" t="str">
        <x:v>Linked from NVIDIA bridge</x:v>
      </x:c>
      <x:c r="G6" s="6"/>
      <x:c r="H6" s="6"/>
      <x:c r="I6" s="6"/>
      <x:c r="J6" s="6"/>
    </x:row>
    <x:row r="7">
      <x:c r="A7" s="7"/>
      <x:c r="B7" s="7"/>
      <x:c r="C7" s="41" t="str">
        <x:v>Owner earnings growth</x:v>
      </x:c>
      <x:c r="D7" s="80" t="n">
        <x:f>Assumptions!F13</x:f>
        <x:v>0.12</x:v>
      </x:c>
      <x:c r="E7" s="25" t="str">
        <x:v>%</x:v>
      </x:c>
      <x:c r="F7" s="41" t="str">
        <x:v>Linked active case assumption</x:v>
      </x:c>
      <x:c r="G7" s="6"/>
      <x:c r="H7" s="6"/>
      <x:c r="I7" s="6"/>
      <x:c r="J7" s="6"/>
    </x:row>
    <x:row r="8">
      <x:c r="A8" s="7"/>
      <x:c r="B8" s="7"/>
      <x:c r="C8" s="41" t="str">
        <x:v>Discount rate</x:v>
      </x:c>
      <x:c r="D8" s="80" t="n">
        <x:f>Assumptions!F12</x:f>
        <x:v>0.1</x:v>
      </x:c>
      <x:c r="E8" s="25" t="str">
        <x:v>%</x:v>
      </x:c>
      <x:c r="F8" s="41" t="str">
        <x:v>Linked active case assumption</x:v>
      </x:c>
      <x:c r="G8" s="6"/>
      <x:c r="H8" s="6"/>
      <x:c r="I8" s="6"/>
      <x:c r="J8" s="6"/>
    </x:row>
    <x:row r="9">
      <x:c r="A9" s="7"/>
      <x:c r="B9" s="7"/>
      <x:c r="C9" s="41" t="str">
        <x:v>Terminal growth</x:v>
      </x:c>
      <x:c r="D9" s="80" t="n">
        <x:f>Assumptions!F11</x:f>
        <x:v>0.04</x:v>
      </x:c>
      <x:c r="E9" s="25" t="str">
        <x:v>%</x:v>
      </x:c>
      <x:c r="F9" s="41" t="str">
        <x:v>Must remain below discount rate</x:v>
      </x:c>
      <x:c r="G9" s="6"/>
      <x:c r="H9" s="6"/>
      <x:c r="I9" s="6"/>
      <x:c r="J9" s="6"/>
    </x:row>
    <x:row r="10">
      <x:c r="A10" s="7"/>
      <x:c r="B10" s="7"/>
      <x:c r="C10" s="41" t="str">
        <x:v>Diluted shares</x:v>
      </x:c>
      <x:c r="D10" s="31"/>
      <x:c r="E10" s="25" t="str">
        <x:v>bn shares</x:v>
      </x:c>
      <x:c r="F10" s="41" t="str">
        <x:v>Analyst input supported by filing</x:v>
      </x:c>
      <x:c r="G10" s="6"/>
      <x:c r="H10" s="6"/>
      <x:c r="I10" s="6"/>
      <x:c r="J10" s="6"/>
    </x:row>
    <x:row r="11">
      <x:c r="A11" s="7"/>
      <x:c r="B11" s="7"/>
      <x:c r="C11" s="41" t="str">
        <x:v>Current price</x:v>
      </x:c>
      <x:c r="D11" s="31"/>
      <x:c r="E11" s="25" t="str">
        <x:v>USD/share</x:v>
      </x:c>
      <x:c r="F11" s="41" t="str">
        <x:v>Enter dated price if required</x:v>
      </x:c>
      <x:c r="G11" s="6"/>
      <x:c r="H11" s="6"/>
      <x:c r="I11" s="6"/>
      <x:c r="J11" s="6"/>
    </x:row>
    <x:row r="12">
      <x:c r="A12" s="7"/>
      <x:c r="B12" s="7"/>
      <x:c r="C12" s="42" t="str">
        <x:v>Valuation status</x:v>
      </x:c>
      <x:c r="D12" s="29" t="str">
        <x:f>IF(OR(D6="",D7="",D8="",D9="",D10="",D11="",D7&lt;=-1,D8&lt;=D9,D10&lt;=0),"Enter supported earnings, shares, price and valid rates","Inputs ready for DCF")</x:f>
        <x:v>Enter supported earnings, shares, price and valid rates</x:v>
      </x:c>
      <x:c r="E12" s="26" t="str"/>
      <x:c r="F12" s="42" t="str">
        <x:v>Blank output is not zero value</x:v>
      </x:c>
      <x:c r="G12" s="6"/>
      <x:c r="H12" s="6"/>
      <x:c r="I12" s="6"/>
      <x:c r="J12" s="6"/>
    </x:row>
    <x:row r="13">
      <x:c r="A13" s="7"/>
      <x:c r="B13" s="7"/>
      <x:c r="C13" s="6"/>
      <x:c r="D13" s="6"/>
      <x:c r="E13" s="6"/>
      <x:c r="F13" s="6"/>
      <x:c r="G13" s="6"/>
      <x:c r="H13" s="6"/>
      <x:c r="I13" s="6"/>
      <x:c r="J13" s="6"/>
    </x:row>
    <x:row r="14">
      <x:c r="A14" s="7"/>
      <x:c r="B14" s="7"/>
      <x:c r="C14" s="6"/>
      <x:c r="D14" s="6"/>
      <x:c r="E14" s="6"/>
      <x:c r="F14" s="6"/>
      <x:c r="G14" s="6"/>
      <x:c r="H14" s="6"/>
      <x:c r="I14" s="6"/>
      <x:c r="J14" s="6"/>
    </x:row>
    <x:row r="15">
      <x:c r="A15" s="7"/>
      <x:c r="B15" s="7"/>
      <x:c r="C15" s="12" t="str">
        <x:v>Year</x:v>
      </x:c>
      <x:c r="D15" s="12" t="str">
        <x:v>Owner earnings</x:v>
      </x:c>
      <x:c r="E15" s="12" t="str">
        <x:v>Discount period</x:v>
      </x:c>
      <x:c r="F15" s="12" t="str">
        <x:v>Discount factor</x:v>
      </x:c>
      <x:c r="G15" s="12" t="str">
        <x:v>Present value</x:v>
      </x:c>
      <x:c r="H15" s="12" t="str">
        <x:v>Note</x:v>
      </x:c>
      <x:c r="I15" s="12"/>
      <x:c r="J15" s="6"/>
    </x:row>
    <x:row r="16">
      <x:c r="A16" s="7"/>
      <x:c r="B16" s="7"/>
      <x:c r="C16" s="6" t="n">
        <x:v>1</x:v>
      </x:c>
      <x:c r="D16" s="81" t="str">
        <x:f>IF($D$12&lt;&gt;"Inputs ready for DCF","",$D$6*(1+$D$7)^C16)</x:f>
      </x:c>
      <x:c r="E16" s="6" t="n">
        <x:f>C16</x:f>
        <x:v>1</x:v>
      </x:c>
      <x:c r="F16" s="82" t="str">
        <x:f>IF(D16="","",1/(1+$D$8)^E16)</x:f>
      </x:c>
      <x:c r="G16" s="81" t="str">
        <x:f>IF(D16="","",D16*F16)</x:f>
      </x:c>
      <x:c r="H16" s="6" t="str">
        <x:v>Projection only after inputs are populated</x:v>
      </x:c>
      <x:c r="I16" s="6"/>
      <x:c r="J16" s="6"/>
    </x:row>
    <x:row r="17">
      <x:c r="A17" s="7"/>
      <x:c r="B17" s="7"/>
      <x:c r="C17" s="6" t="n">
        <x:v>2</x:v>
      </x:c>
      <x:c r="D17" s="81" t="str">
        <x:f>IF($D$12&lt;&gt;"Inputs ready for DCF","",$D$6*(1+$D$7)^C17)</x:f>
      </x:c>
      <x:c r="E17" s="6" t="n">
        <x:f>C17</x:f>
        <x:v>2</x:v>
      </x:c>
      <x:c r="F17" s="82" t="str">
        <x:f>IF(D17="","",1/(1+$D$8)^E17)</x:f>
      </x:c>
      <x:c r="G17" s="81" t="str">
        <x:f>IF(D17="","",D17*F17)</x:f>
      </x:c>
      <x:c r="H17" s="6" t="str">
        <x:v>Projection only after inputs are populated</x:v>
      </x:c>
      <x:c r="I17" s="6"/>
      <x:c r="J17" s="6"/>
    </x:row>
    <x:row r="18">
      <x:c r="A18" s="7"/>
      <x:c r="B18" s="7"/>
      <x:c r="C18" s="6" t="n">
        <x:v>3</x:v>
      </x:c>
      <x:c r="D18" s="81" t="str">
        <x:f>IF($D$12&lt;&gt;"Inputs ready for DCF","",$D$6*(1+$D$7)^C18)</x:f>
      </x:c>
      <x:c r="E18" s="6" t="n">
        <x:f>C18</x:f>
        <x:v>3</x:v>
      </x:c>
      <x:c r="F18" s="82" t="str">
        <x:f>IF(D18="","",1/(1+$D$8)^E18)</x:f>
      </x:c>
      <x:c r="G18" s="81" t="str">
        <x:f>IF(D18="","",D18*F18)</x:f>
      </x:c>
      <x:c r="H18" s="6" t="str">
        <x:v>Projection only after inputs are populated</x:v>
      </x:c>
      <x:c r="I18" s="6"/>
      <x:c r="J18" s="6"/>
    </x:row>
    <x:row r="19">
      <x:c r="A19" s="7"/>
      <x:c r="B19" s="7"/>
      <x:c r="C19" s="6" t="n">
        <x:v>4</x:v>
      </x:c>
      <x:c r="D19" s="81" t="str">
        <x:f>IF($D$12&lt;&gt;"Inputs ready for DCF","",$D$6*(1+$D$7)^C19)</x:f>
      </x:c>
      <x:c r="E19" s="6" t="n">
        <x:f>C19</x:f>
        <x:v>4</x:v>
      </x:c>
      <x:c r="F19" s="82" t="str">
        <x:f>IF(D19="","",1/(1+$D$8)^E19)</x:f>
      </x:c>
      <x:c r="G19" s="81" t="str">
        <x:f>IF(D19="","",D19*F19)</x:f>
      </x:c>
      <x:c r="H19" s="6" t="str">
        <x:v>Projection only after inputs are populated</x:v>
      </x:c>
      <x:c r="I19" s="6"/>
      <x:c r="J19" s="6"/>
    </x:row>
    <x:row r="20">
      <x:c r="A20" s="7"/>
      <x:c r="B20" s="7"/>
      <x:c r="C20" s="6" t="n">
        <x:v>5</x:v>
      </x:c>
      <x:c r="D20" s="81" t="str">
        <x:f>IF($D$12&lt;&gt;"Inputs ready for DCF","",$D$6*(1+$D$7)^C20)</x:f>
      </x:c>
      <x:c r="E20" s="6" t="n">
        <x:f>C20</x:f>
        <x:v>5</x:v>
      </x:c>
      <x:c r="F20" s="82" t="str">
        <x:f>IF(D20="","",1/(1+$D$8)^E20)</x:f>
      </x:c>
      <x:c r="G20" s="81" t="str">
        <x:f>IF(D20="","",D20*F20)</x:f>
      </x:c>
      <x:c r="H20" s="6" t="str">
        <x:v>Projection only after inputs are populated</x:v>
      </x:c>
      <x:c r="I20" s="6"/>
      <x:c r="J20" s="6"/>
    </x:row>
    <x:row r="21">
      <x:c r="A21" s="7"/>
      <x:c r="B21" s="7"/>
      <x:c r="C21" s="6"/>
      <x:c r="D21" s="6"/>
      <x:c r="E21" s="6"/>
      <x:c r="F21" s="6"/>
      <x:c r="G21" s="6"/>
      <x:c r="H21" s="6"/>
      <x:c r="I21" s="6"/>
      <x:c r="J21" s="6"/>
    </x:row>
    <x:row r="22">
      <x:c r="A22" s="7"/>
      <x:c r="B22" s="7"/>
      <x:c r="C22" s="6" t="str">
        <x:v>Terminal value at year 5</x:v>
      </x:c>
      <x:c r="D22" s="81" t="str">
        <x:f>IF($D$12&lt;&gt;"Inputs ready for DCF","",D20*(1+$D$9)/($D$8-$D$9))</x:f>
      </x:c>
      <x:c r="E22" s="6"/>
      <x:c r="F22" s="6"/>
      <x:c r="G22" s="6"/>
      <x:c r="H22" s="6"/>
      <x:c r="I22" s="6"/>
      <x:c r="J22" s="6"/>
    </x:row>
    <x:row r="23">
      <x:c r="A23" s="7"/>
      <x:c r="B23" s="7"/>
      <x:c r="C23" s="6" t="str">
        <x:v>Present value of terminal value</x:v>
      </x:c>
      <x:c r="D23" s="81" t="str">
        <x:f>IF(D22="","",D22/(1+$D$8)^5)</x:f>
      </x:c>
      <x:c r="E23" s="6"/>
      <x:c r="F23" s="6"/>
      <x:c r="G23" s="6"/>
      <x:c r="H23" s="6"/>
      <x:c r="I23" s="6"/>
      <x:c r="J23" s="6"/>
    </x:row>
    <x:row r="24">
      <x:c r="A24" s="7"/>
      <x:c r="B24" s="7"/>
      <x:c r="C24" s="18" t="str">
        <x:v>Implied equity value</x:v>
      </x:c>
      <x:c r="D24" s="88" t="str">
        <x:f>IF(D23="","",SUM(G16:G20)+D23)</x:f>
      </x:c>
      <x:c r="E24" s="6"/>
      <x:c r="F24" s="6"/>
      <x:c r="G24" s="6"/>
      <x:c r="H24" s="6"/>
      <x:c r="I24" s="6"/>
      <x:c r="J24" s="6"/>
    </x:row>
    <x:row r="25">
      <x:c r="A25" s="7"/>
      <x:c r="B25" s="7"/>
      <x:c r="C25" s="18" t="str">
        <x:v>Implied value per share</x:v>
      </x:c>
      <x:c r="D25" s="89" t="str">
        <x:f>IF(OR(D24="",$D$10&lt;=0),"",D24/$D$10)</x:f>
      </x:c>
      <x:c r="E25" s="6"/>
      <x:c r="F25" s="6"/>
      <x:c r="G25" s="6"/>
      <x:c r="H25" s="6"/>
      <x:c r="I25" s="6"/>
      <x:c r="J25" s="6"/>
    </x:row>
    <x:row r="26">
      <x:c r="A26" s="7"/>
      <x:c r="B26" s="7"/>
      <x:c r="C26" s="18" t="str">
        <x:v>Implied upside / downside</x:v>
      </x:c>
      <x:c r="D26" s="90" t="str">
        <x:f>IF(OR(D25="",$D$11&lt;=0),"",D25/$D$11-1)</x:f>
      </x:c>
      <x:c r="E26" s="6"/>
      <x:c r="F26" s="6"/>
      <x:c r="G26" s="6"/>
      <x:c r="H26" s="6"/>
      <x:c r="I26" s="6"/>
      <x:c r="J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  <x:c r="J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  <x:c r="J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  <x:c r="J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  <x:c r="J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  <x:c r="J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  <x:c r="J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  <x:c r="J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  <x:c r="J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  <x:c r="J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  <x:c r="J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  <x:c r="J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  <x:c r="J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  <x:c r="J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  <x:c r="J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  <x:c r="J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  <x:c r="J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  <x:c r="J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  <x:c r="J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  <x:c r="J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  <x:c r="J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  <x:c r="J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  <x:c r="J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  <x:c r="J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  <x:c r="J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  <x:c r="J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  <x:c r="J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  <x:c r="J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  <x:c r="J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  <x:c r="J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  <x:c r="J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  <x:c r="J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  <x:c r="J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  <x:c r="J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  <x:c r="J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  <x:c r="J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  <x:c r="J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  <x:c r="J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  <x:c r="J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  <x:c r="J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  <x:c r="J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  <x:c r="J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  <x:c r="J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  <x:c r="J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  <x:c r="J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  <x:c r="J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  <x:c r="J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  <x:c r="J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  <x:c r="J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  <x:c r="J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  <x:c r="J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  <x:c r="J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  <x:c r="J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  <x:c r="J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  <x:c r="J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  <x:c r="J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  <x:c r="J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  <x:c r="J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  <x:c r="J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  <x:c r="J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  <x:c r="J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  <x:c r="J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  <x:c r="J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  <x:c r="J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  <x:c r="J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  <x:c r="J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  <x:c r="J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  <x:c r="J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  <x:c r="J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  <x:c r="J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  <x:c r="J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  <x:c r="J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  <x:c r="J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  <x:c r="J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  <x:c r="J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  <x:c r="J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  <x:c r="J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  <x:c r="J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  <x:c r="J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  <x:c r="J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  <x:c r="J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  <x:c r="J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  <x:c r="J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  <x:c r="J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  <x:c r="J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  <x:c r="J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  <x:c r="J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  <x:c r="J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  <x:c r="J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  <x:c r="J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  <x:c r="J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  <x:c r="J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  <x:c r="J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  <x:c r="J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  <x:c r="J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  <x:c r="J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  <x:c r="J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  <x:c r="J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  <x:c r="J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  <x:c r="J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  <x:c r="J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  <x:c r="J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  <x:c r="J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  <x:c r="J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  <x:c r="J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  <x:c r="J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  <x:c r="J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  <x:c r="J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  <x:c r="J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  <x:c r="J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  <x:c r="J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  <x:c r="J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  <x:c r="J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  <x:c r="J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  <x:c r="J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  <x:c r="J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  <x:c r="J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  <x:c r="J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  <x:c r="J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  <x:c r="J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  <x:c r="J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  <x:c r="J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  <x:c r="J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  <x:c r="J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  <x:c r="J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  <x:c r="J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  <x:c r="J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  <x:c r="J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  <x:c r="J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  <x:c r="J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  <x:c r="J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  <x:c r="J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  <x:c r="J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  <x:c r="J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  <x:c r="J200" s="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2" hidden="0" customWidth="1"/>
    <x:col min="4" max="4" width="50" hidden="0" customWidth="1"/>
    <x:col min="5" max="5" width="19" hidden="0" customWidth="1"/>
    <x:col min="6" max="6" width="14" hidden="0" customWidth="1"/>
    <x:col min="7" max="7" width="23" hidden="0" customWidth="1"/>
    <x:col min="8" max="8" width="22" hidden="0" customWidth="1"/>
    <x:col min="9" max="9" width="20" hidden="0" customWidth="1"/>
    <x:col min="10" max="10" width="19" hidden="0" customWidth="1"/>
    <x:col min="11" max="11" width="17" hidden="0" customWidth="1"/>
    <x:col min="12" max="12" width="19" hidden="0" customWidth="1"/>
    <x:col min="13" max="13" width="61" hidden="0" customWidth="1"/>
    <x:col min="14" max="14" width="66" hidden="0" customWidth="1"/>
  </x:cols>
  <x:sheetData>
    <x:row r="1" ht="25" customHeight="1">
      <x:c r="A1" s="7"/>
      <x:c r="B1" s="7"/>
      <x:c r="C1" s="4" t="str">
        <x:v>Profile-specific listed-company stress tests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7"/>
      <x:c r="B2" s="7"/>
      <x:c r="C2" s="5" t="str">
        <x:v>Normalized cash-capacity index: each profile starts at 100. These are transparent analyst scenarios, not issuer forecasts, historical results, valuations or cross-company rankings. Replace the editable inputs with sourced issuer-specific estimates before making a decision.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 ht="38" customHeight="1">
      <x:c r="A4" s="7"/>
      <x:c r="B4" s="7"/>
      <x:c r="C4" s="39" t="str">
        <x:v>How to read this sheet</x:v>
      </x:c>
      <x:c r="D4" s="39" t="str">
        <x:v>Each row applies a different operating shock and reinvestment/priority-claim response. Base and stressed residuals show directional headroom only; sector cash definitions differ. Negative stressed residual indicates an illustrative funding gap.</x:v>
      </x:c>
      <x:c r="E4" s="39"/>
      <x:c r="F4" s="39"/>
      <x:c r="G4" s="39"/>
      <x:c r="H4" s="39"/>
      <x:c r="I4" s="39"/>
      <x:c r="J4" s="39"/>
      <x:c r="K4" s="39"/>
      <x:c r="L4" s="39"/>
      <x:c r="M4" s="39"/>
      <x:c r="N4" s="39"/>
    </x:row>
    <x:row r="5">
      <x:c r="A5" s="7"/>
      <x:c r="B5" s="7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</x:row>
    <x:row r="6" ht="30" customHeight="1">
      <x:c r="A6" s="7"/>
      <x:c r="B6" s="7"/>
      <x:c r="C6" s="22" t="str">
        <x:v>Market</x:v>
      </x:c>
      <x:c r="D6" s="22" t="str">
        <x:v>Issuer / asset and industry profile</x:v>
      </x:c>
      <x:c r="E6" s="22" t="str">
        <x:v>Base cash-capacity index</x:v>
      </x:c>
      <x:c r="F6" s="22" t="str">
        <x:v>Cash shock %</x:v>
      </x:c>
      <x:c r="G6" s="22" t="str">
        <x:v>Base reinvestment / retention index</x:v>
      </x:c>
      <x:c r="H6" s="22" t="str">
        <x:v>Reinvestment / retention shock %</x:v>
      </x:c>
      <x:c r="I6" s="22" t="str">
        <x:v>Base priority claims index</x:v>
      </x:c>
      <x:c r="J6" s="22" t="str">
        <x:v>Priority claims shock %</x:v>
      </x:c>
      <x:c r="K6" s="22" t="str">
        <x:v>Base residual index</x:v>
      </x:c>
      <x:c r="L6" s="22" t="str">
        <x:v>Stressed residual index</x:v>
      </x:c>
      <x:c r="M6" s="22" t="str">
        <x:v>Profile-specific stress</x:v>
      </x:c>
      <x:c r="N6" s="22" t="str">
        <x:v>Evidence and limitation</x:v>
      </x:c>
    </x:row>
    <x:row r="7">
      <x:c r="A7" s="7"/>
      <x:c r="B7" s="7"/>
      <x:c r="C7" s="24" t="str">
        <x:v>US</x:v>
      </x:c>
      <x:c r="D7" s="40" t="str">
        <x:v>NVIDIA — semiconductor / inventory and supply commitments</x:v>
      </x:c>
      <x:c r="E7" s="92" t="n">
        <x:v>100</x:v>
      </x:c>
      <x:c r="F7" s="91" t="n">
        <x:v>-0.2</x:v>
      </x:c>
      <x:c r="G7" s="92" t="n">
        <x:v>35</x:v>
      </x:c>
      <x:c r="H7" s="91" t="n">
        <x:v>0.1</x:v>
      </x:c>
      <x:c r="I7" s="95" t="n">
        <x:v>10</x:v>
      </x:c>
      <x:c r="J7" s="95" t="n">
        <x:v>0.25</x:v>
      </x:c>
      <x:c r="K7" s="101" t="n">
        <x:f>IF(OR(E7="",G7="",I7=""),"",E7-G7-I7)</x:f>
        <x:v>55</x:v>
      </x:c>
      <x:c r="L7" s="101" t="n">
        <x:f>IF(OR(E7="",F7="",G7="",H7="",I7="",J7=""),"",E7*(1+F7)-G7*(1+H7)-I7*(1+J7))</x:f>
        <x:v>29</x:v>
      </x:c>
      <x:c r="M7" s="40" t="str">
        <x:v>Demand and gross-margin shock; inventory and capacity commitments absorb more cash.</x:v>
      </x:c>
      <x:c r="N7" s="40" t="str">
        <x:v>Scenario only; start with NVDA-10K; gross AR/inventory uses are not net working capital.</x:v>
      </x:c>
    </x:row>
    <x:row r="8">
      <x:c r="A8" s="7"/>
      <x:c r="B8" s="7"/>
      <x:c r="C8" s="25" t="str">
        <x:v>US</x:v>
      </x:c>
      <x:c r="D8" s="41" t="str">
        <x:v>Equinix — data-centre infrastructure / power and renewal</x:v>
      </x:c>
      <x:c r="E8" s="93" t="n">
        <x:v>100</x:v>
      </x:c>
      <x:c r="F8" s="76" t="n">
        <x:v>-0.1</x:v>
      </x:c>
      <x:c r="G8" s="93" t="n">
        <x:v>45</x:v>
      </x:c>
      <x:c r="H8" s="76" t="n">
        <x:v>0.2</x:v>
      </x:c>
      <x:c r="I8" s="97" t="n">
        <x:v>25</x:v>
      </x:c>
      <x:c r="J8" s="97" t="n">
        <x:v>0.1</x:v>
      </x:c>
      <x:c r="K8" s="102" t="n">
        <x:f>IF(OR(E8="",G8="",I8=""),"",E8-G8-I8)</x:f>
        <x:v>30</x:v>
      </x:c>
      <x:c r="L8" s="102" t="n">
        <x:f>IF(OR(E8="",F8="",G8="",H8="",I8="",J8=""),"",E8*(1+F8)-G8*(1+H8)-I8*(1+J8))</x:f>
        <x:v>8.499999999999996</x:v>
      </x:c>
      <x:c r="M8" s="41" t="str">
        <x:v>Utilization and power pressure; higher renewal/build spend; fixed financing claims persist.</x:v>
      </x:c>
      <x:c r="N8" s="41" t="str">
        <x:v>Scenario only; start with EQX-10K; recurring capex is issuer-defined, not full maintenance.</x:v>
      </x:c>
    </x:row>
    <x:row r="9">
      <x:c r="A9" s="7"/>
      <x:c r="B9" s="7"/>
      <x:c r="C9" s="25" t="str">
        <x:v>NSE</x:v>
      </x:c>
      <x:c r="D9" s="41" t="str">
        <x:v>Equity Group — bank / credit losses and regulatory capital</x:v>
      </x:c>
      <x:c r="E9" s="93" t="n">
        <x:v>100</x:v>
      </x:c>
      <x:c r="F9" s="76" t="n">
        <x:v>-0.15</x:v>
      </x:c>
      <x:c r="G9" s="93" t="n">
        <x:v>30</x:v>
      </x:c>
      <x:c r="H9" s="76" t="n">
        <x:v>0.2</x:v>
      </x:c>
      <x:c r="I9" s="97" t="n">
        <x:v>35</x:v>
      </x:c>
      <x:c r="J9" s="97" t="n">
        <x:v>0.25</x:v>
      </x:c>
      <x:c r="K9" s="102" t="n">
        <x:f>IF(OR(E9="",G9="",I9=""),"",E9-G9-I9)</x:f>
        <x:v>35</x:v>
      </x:c>
      <x:c r="L9" s="102" t="n">
        <x:f>IF(OR(E9="",F9="",G9="",H9="",I9="",J9=""),"",E9*(1+F9)-G9*(1+H9)-I9*(1+J9))</x:f>
        <x:v>5.25</x:v>
      </x:c>
      <x:c r="M9" s="41" t="str">
        <x:v>Credit-cost shock reduces earnings while capital retention and risk-weighted assets rise.</x:v>
      </x:c>
      <x:c r="N9" s="41" t="str">
        <x:v>Scenario only; use issuer/regulator returns; no ordinary CCC or capex formula.</x:v>
      </x:c>
    </x:row>
    <x:row r="10">
      <x:c r="A10" s="7"/>
      <x:c r="B10" s="7"/>
      <x:c r="C10" s="25" t="str">
        <x:v>NSE</x:v>
      </x:c>
      <x:c r="D10" s="41" t="str">
        <x:v>Jubilee — insurer / claims, reserves and solvency</x:v>
      </x:c>
      <x:c r="E10" s="93" t="n">
        <x:v>100</x:v>
      </x:c>
      <x:c r="F10" s="76" t="n">
        <x:v>-0.2</x:v>
      </x:c>
      <x:c r="G10" s="93" t="n">
        <x:v>20</x:v>
      </x:c>
      <x:c r="H10" s="76" t="n">
        <x:v>0.15</x:v>
      </x:c>
      <x:c r="I10" s="97" t="n">
        <x:v>45</x:v>
      </x:c>
      <x:c r="J10" s="97" t="n">
        <x:v>0.25</x:v>
      </x:c>
      <x:c r="K10" s="102" t="n">
        <x:f>IF(OR(E10="",G10="",I10=""),"",E10-G10-I10)</x:f>
        <x:v>35</x:v>
      </x:c>
      <x:c r="L10" s="102" t="n">
        <x:f>IF(OR(E10="",F10="",G10="",H10="",I10="",J10=""),"",E10*(1+F10)-G10*(1+H10)-I10*(1+J10))</x:f>
        <x:v>0.75</x:v>
      </x:c>
      <x:c r="M10" s="41" t="str">
        <x:v>Claims and adverse reserve development reduce cash available; regulated capital traps remittances.</x:v>
      </x:c>
      <x:c r="N10" s="41" t="str">
        <x:v>Scenario only; group profit is not parent cash or statutory solvency.</x:v>
      </x:c>
    </x:row>
    <x:row r="11">
      <x:c r="A11" s="7"/>
      <x:c r="B11" s="7"/>
      <x:c r="C11" s="25" t="str">
        <x:v>NSE</x:v>
      </x:c>
      <x:c r="D11" s="41" t="str">
        <x:v>KenGen — power generation / plant renewal and construction</x:v>
      </x:c>
      <x:c r="E11" s="93" t="n">
        <x:v>100</x:v>
      </x:c>
      <x:c r="F11" s="76" t="n">
        <x:v>-0.2</x:v>
      </x:c>
      <x:c r="G11" s="93" t="n">
        <x:v>45</x:v>
      </x:c>
      <x:c r="H11" s="76" t="n">
        <x:v>0.35</x:v>
      </x:c>
      <x:c r="I11" s="97" t="n">
        <x:v>15</x:v>
      </x:c>
      <x:c r="J11" s="97" t="n">
        <x:v>0.1</x:v>
      </x:c>
      <x:c r="K11" s="102" t="n">
        <x:f>IF(OR(E11="",G11="",I11=""),"",E11-G11-I11)</x:f>
        <x:v>40</x:v>
      </x:c>
      <x:c r="L11" s="102" t="n">
        <x:f>IF(OR(E11="",F11="",G11="",H11="",I11="",J11=""),"",E11*(1+F11)-G11*(1+H11)-I11*(1+J11))</x:f>
        <x:v>2.749999999999993</x:v>
      </x:c>
      <x:c r="M11" s="41" t="str">
        <x:v>Operating cash pressure coincides with higher project/renewal needs and collection delay.</x:v>
      </x:c>
      <x:c r="N11" s="41" t="str">
        <x:v>Scenario only; reported capital investment combines renewal and growth.</x:v>
      </x:c>
    </x:row>
    <x:row r="12">
      <x:c r="A12" s="7"/>
      <x:c r="B12" s="7"/>
      <x:c r="C12" s="25" t="str">
        <x:v>NSE</x:v>
      </x:c>
      <x:c r="D12" s="41" t="str">
        <x:v>Kakuzi — agribusiness / crop yield and seasonal working capital</x:v>
      </x:c>
      <x:c r="E12" s="93" t="n">
        <x:v>100</x:v>
      </x:c>
      <x:c r="F12" s="76" t="n">
        <x:v>-0.25</x:v>
      </x:c>
      <x:c r="G12" s="93" t="n">
        <x:v>25</x:v>
      </x:c>
      <x:c r="H12" s="76" t="n">
        <x:v>0.2</x:v>
      </x:c>
      <x:c r="I12" s="97" t="n">
        <x:v>20</x:v>
      </x:c>
      <x:c r="J12" s="97" t="n">
        <x:v>0.15</x:v>
      </x:c>
      <x:c r="K12" s="102" t="n">
        <x:f>IF(OR(E12="",G12="",I12=""),"",E12-G12-I12)</x:f>
        <x:v>55</x:v>
      </x:c>
      <x:c r="L12" s="102" t="n">
        <x:f>IF(OR(E12="",F12="",G12="",H12="",I12="",J12=""),"",E12*(1+F12)-G12*(1+H12)-I12*(1+J12))</x:f>
        <x:v>22</x:v>
      </x:c>
      <x:c r="M12" s="41" t="str">
        <x:v>Weather/yield shock lowers receipts while seasonal inputs and inventory tie up more cash.</x:v>
      </x:c>
      <x:c r="N12" s="41" t="str">
        <x:v>Scenario only; crop mix, biological assets, seasonality and shipment timing need issuer data.</x:v>
      </x:c>
    </x:row>
    <x:row r="13">
      <x:c r="A13" s="7"/>
      <x:c r="B13" s="7"/>
      <x:c r="C13" s="25" t="str">
        <x:v>NSE</x:v>
      </x:c>
      <x:c r="D13" s="41" t="str">
        <x:v>Safaricom — telecom / network renewal and expansion</x:v>
      </x:c>
      <x:c r="E13" s="93" t="n">
        <x:v>100</x:v>
      </x:c>
      <x:c r="F13" s="76" t="n">
        <x:v>-0.15</x:v>
      </x:c>
      <x:c r="G13" s="93" t="n">
        <x:v>40</x:v>
      </x:c>
      <x:c r="H13" s="76" t="n">
        <x:v>0.15</x:v>
      </x:c>
      <x:c r="I13" s="97" t="n">
        <x:v>15</x:v>
      </x:c>
      <x:c r="J13" s="97" t="n">
        <x:v>0.1</x:v>
      </x:c>
      <x:c r="K13" s="102" t="n">
        <x:f>IF(OR(E13="",G13="",I13=""),"",E13-G13-I13)</x:f>
        <x:v>45</x:v>
      </x:c>
      <x:c r="L13" s="102" t="n">
        <x:f>IF(OR(E13="",F13="",G13="",H13="",I13="",J13=""),"",E13*(1+F13)-G13*(1+H13)-I13*(1+J13))</x:f>
        <x:v>22.5</x:v>
      </x:c>
      <x:c r="M13" s="41" t="str">
        <x:v>Service-cash pressure plus higher network/spectrum and expansion funding needs.</x:v>
      </x:c>
      <x:c r="N13" s="41" t="str">
        <x:v>Scenario only; split maintenance, growth, leases and subsidiary cash before use.</x:v>
      </x:c>
    </x:row>
    <x:row r="14">
      <x:c r="A14" s="7"/>
      <x:c r="B14" s="7"/>
      <x:c r="C14" s="25" t="str">
        <x:v>NSE</x:v>
      </x:c>
      <x:c r="D14" s="41" t="str">
        <x:v>BAT Kenya — manufacturing / volume, tax and replacement</x:v>
      </x:c>
      <x:c r="E14" s="93" t="n">
        <x:v>100</x:v>
      </x:c>
      <x:c r="F14" s="76" t="n">
        <x:v>-0.15</x:v>
      </x:c>
      <x:c r="G14" s="93" t="n">
        <x:v>20</x:v>
      </x:c>
      <x:c r="H14" s="76" t="n">
        <x:v>0.1</x:v>
      </x:c>
      <x:c r="I14" s="97" t="n">
        <x:v>35</x:v>
      </x:c>
      <x:c r="J14" s="97" t="n">
        <x:v>0.15</x:v>
      </x:c>
      <x:c r="K14" s="102" t="n">
        <x:f>IF(OR(E14="",G14="",I14=""),"",E14-G14-I14)</x:f>
        <x:v>45</x:v>
      </x:c>
      <x:c r="L14" s="102" t="n">
        <x:f>IF(OR(E14="",F14="",G14="",H14="",I14="",J14=""),"",E14*(1+F14)-G14*(1+H14)-I14*(1+J14))</x:f>
        <x:v>22.75</x:v>
      </x:c>
      <x:c r="M14" s="41" t="str">
        <x:v>Lower volume/cash conversion alongside excise/tax timing and replacement pressure.</x:v>
      </x:c>
      <x:c r="N14" s="41" t="str">
        <x:v>Scenario only; tax remittances, volume/mix and maintenance require the filed bridge.</x:v>
      </x:c>
    </x:row>
    <x:row r="15">
      <x:c r="A15" s="7"/>
      <x:c r="B15" s="7"/>
      <x:c r="C15" s="26" t="str">
        <x:v>NSE</x:v>
      </x:c>
      <x:c r="D15" s="42" t="str">
        <x:v>Home Afrika — property / completion costs and collections</x:v>
      </x:c>
      <x:c r="E15" s="94" t="n">
        <x:v>100</x:v>
      </x:c>
      <x:c r="F15" s="59" t="n">
        <x:v>-0.25</x:v>
      </x:c>
      <x:c r="G15" s="94" t="n">
        <x:v>45</x:v>
      </x:c>
      <x:c r="H15" s="59" t="n">
        <x:v>0.25</x:v>
      </x:c>
      <x:c r="I15" s="99" t="n">
        <x:v>25</x:v>
      </x:c>
      <x:c r="J15" s="99" t="n">
        <x:v>0.2</x:v>
      </x:c>
      <x:c r="K15" s="103" t="n">
        <x:f>IF(OR(E15="",G15="",I15=""),"",E15-G15-I15)</x:f>
        <x:v>30</x:v>
      </x:c>
      <x:c r="L15" s="103" t="n">
        <x:f>IF(OR(E15="",F15="",G15="",H15="",I15="",J15=""),"",E15*(1+F15)-G15*(1+H15)-I15*(1+J15))</x:f>
        <x:v>-11.25</x:v>
      </x:c>
      <x:c r="M15" s="42" t="str">
        <x:v>Slower customer collections and cost-to-complete overruns against debt and project obligations.</x:v>
      </x:c>
      <x:c r="N15" s="42" t="str">
        <x:v>Scenario only; use project/entity-level sales, WIP, restricted receipts and debt.</x:v>
      </x:c>
    </x:row>
    <x:row r="16">
      <x:c r="A16" s="7"/>
      <x:c r="B16" s="7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</x:row>
    <x:row r="17">
      <x:c r="A17" s="7"/>
      <x:c r="B17" s="7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</x:row>
    <x:row r="18" ht="48" customHeight="1">
      <x:c r="A18" s="7"/>
      <x:c r="B18" s="7"/>
      <x:c r="C18" s="38" t="str">
        <x:v>Do not compare the residual index between issuers as a valuation multiple or expected return. It is a scenario teaching device, not reported cash. Each profile needs its own evidence bridge: net working capital for NVIDIA; renewal, utilization and financing for data centres; retained regulatory capital for banks; claims and solvency for insurers; plant/project funding for power; crop-cycle liquidity for agribusiness; network investment for telecom; tax and volume for manufacturing; project completion and collections for property.</x:v>
      </x:c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</x:row>
    <x:row r="19" ht="48" customHeight="1">
      <x:c r="A19" s="7"/>
      <x:c r="B19" s="7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</x:row>
    <x:row r="20">
      <x:c r="A20" s="7"/>
      <x:c r="B20" s="7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</x:row>
    <x:row r="21">
      <x:c r="A21" s="7"/>
      <x:c r="B21" s="7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>
      <x:c r="A22" s="7"/>
      <x:c r="B22" s="7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>
      <x:c r="A23" s="7"/>
      <x:c r="B23" s="7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</x:row>
    <x:row r="24">
      <x:c r="A24" s="7"/>
      <x:c r="B24" s="7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</x:row>
    <x:row r="25">
      <x:c r="A25" s="7"/>
      <x:c r="B25" s="7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</x:row>
    <x:row r="26">
      <x:c r="A26" s="7"/>
      <x:c r="B26" s="7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</x:row>
  </x:sheetData>
  <x:mergeCells>
    <x:mergeCell ref="C4:N4"/>
    <x:mergeCell ref="C18:N19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9" hidden="0" customWidth="1"/>
    <x:col min="4" max="4" width="20" hidden="0" customWidth="1"/>
    <x:col min="5" max="5" width="23" hidden="0" customWidth="1"/>
    <x:col min="6" max="6" width="62" hidden="0" customWidth="1"/>
    <x:col min="7" max="7" width="28" hidden="0" customWidth="1"/>
    <x:col min="8" max="8" width="66" hidden="0" customWidth="1"/>
    <x:col min="9" max="9" width="58" hidden="0" customWidth="1"/>
  </x:cols>
  <x:sheetData>
    <x:row r="1" ht="25" customHeight="1">
      <x:c r="A1" s="7"/>
      <x:c r="B1" s="7"/>
      <x:c r="C1" s="107" t="str">
        <x:v>Sources and checks</x:v>
      </x:c>
      <x:c r="D1" s="107"/>
      <x:c r="E1" s="107"/>
      <x:c r="F1" s="107"/>
      <x:c r="G1" s="107"/>
      <x:c r="H1" s="107"/>
      <x:c r="I1" s="107"/>
      <x:c r="J1" s="107"/>
    </x:row>
    <x:row r="2">
      <x:c r="A2" s="7"/>
      <x:c r="B2" s="7"/>
      <x:c r="C2" s="108" t="str">
        <x:v>Sources sit beside the data they support. An unavailable check is not treated as a passing result.</x:v>
      </x:c>
      <x:c r="D2" s="108"/>
      <x:c r="E2" s="108"/>
      <x:c r="F2" s="108"/>
      <x:c r="G2" s="108"/>
      <x:c r="H2" s="108"/>
      <x:c r="I2" s="108"/>
      <x:c r="J2" s="108"/>
    </x:row>
    <x:row r="3">
      <x:c r="A3" s="7"/>
      <x:c r="B3" s="7"/>
      <x:c r="C3" s="23"/>
      <x:c r="D3" s="23"/>
      <x:c r="E3" s="23"/>
      <x:c r="F3" s="23"/>
      <x:c r="G3" s="23"/>
      <x:c r="H3" s="23"/>
      <x:c r="I3" s="23"/>
      <x:c r="J3" s="23"/>
    </x:row>
    <x:row r="4">
      <x:c r="A4" s="7"/>
      <x:c r="B4" s="7"/>
      <x:c r="C4" s="23"/>
      <x:c r="D4" s="23"/>
      <x:c r="E4" s="23"/>
      <x:c r="F4" s="23"/>
      <x:c r="G4" s="23"/>
      <x:c r="H4" s="23"/>
      <x:c r="I4" s="23"/>
      <x:c r="J4" s="23"/>
    </x:row>
    <x:row r="5" ht="30" customHeight="1">
      <x:c r="A5" s="7"/>
      <x:c r="B5" s="7"/>
      <x:c r="C5" s="22" t="str">
        <x:v>Source ID</x:v>
      </x:c>
      <x:c r="D5" s="22" t="str">
        <x:v>Source or record</x:v>
      </x:c>
      <x:c r="E5" s="22" t="str">
        <x:v>Type</x:v>
      </x:c>
      <x:c r="F5" s="22" t="str">
        <x:v>Period / date</x:v>
      </x:c>
      <x:c r="G5" s="22" t="str">
        <x:v>Entity / scope</x:v>
      </x:c>
      <x:c r="H5" s="22" t="str">
        <x:v>URL or location</x:v>
      </x:c>
      <x:c r="I5" s="22" t="str">
        <x:v>Use and limits</x:v>
      </x:c>
      <x:c r="J5" s="23"/>
    </x:row>
    <x:row r="6">
      <x:c r="A6" s="7"/>
      <x:c r="B6" s="7"/>
      <x:c r="C6" s="24" t="str">
        <x:v>NVDA-10K</x:v>
      </x:c>
      <x:c r="D6" s="40" t="str">
        <x:v>NVIDIA FY2026 Form 10-K</x:v>
      </x:c>
      <x:c r="E6" s="24" t="str">
        <x:v>SEC filing</x:v>
      </x:c>
      <x:c r="F6" s="24" t="str">
        <x:v>FY ended 25-Jan-2026</x:v>
      </x:c>
      <x:c r="G6" s="24" t="str">
        <x:v>Consolidated issuer</x:v>
      </x:c>
      <x:c r="H6" s="40" t="str">
        <x:v>https://www.sec.gov/Archives/edgar/data/1045810/000104581026000021/nvda-20260125.htm</x:v>
      </x:c>
      <x:c r="I6" s="40" t="str">
        <x:v>Primary filing; see cash-flow, working capital, SBC, capex and obligations.</x:v>
      </x:c>
      <x:c r="J6" s="23"/>
    </x:row>
    <x:row r="7">
      <x:c r="A7" s="7"/>
      <x:c r="B7" s="7"/>
      <x:c r="C7" s="25" t="str">
        <x:v>DECHOW</x:v>
      </x:c>
      <x:c r="D7" s="41" t="str">
        <x:v>Dechow, Kothari and Watts, earnings and cash flows</x:v>
      </x:c>
      <x:c r="E7" s="25" t="str">
        <x:v>Peer-reviewed</x:v>
      </x:c>
      <x:c r="F7" s="25" t="str">
        <x:v>1998</x:v>
      </x:c>
      <x:c r="G7" s="25" t="str">
        <x:v>Accounting research</x:v>
      </x:c>
      <x:c r="H7" s="41" t="str">
        <x:v>https://doi.org/10.1016/S0165-4101(98)00020-2</x:v>
      </x:c>
      <x:c r="I7" s="41" t="str">
        <x:v>Cash/accrual method context.</x:v>
      </x:c>
      <x:c r="J7" s="23"/>
    </x:row>
    <x:row r="8">
      <x:c r="A8" s="7"/>
      <x:c r="B8" s="7"/>
      <x:c r="C8" s="25" t="str">
        <x:v>OHLSON</x:v>
      </x:c>
      <x:c r="D8" s="41" t="str">
        <x:v>Ohlson, earnings, book values and dividends</x:v>
      </x:c>
      <x:c r="E8" s="25" t="str">
        <x:v>Peer-reviewed</x:v>
      </x:c>
      <x:c r="F8" s="25" t="str">
        <x:v>1995</x:v>
      </x:c>
      <x:c r="G8" s="25" t="str">
        <x:v>Valuation research</x:v>
      </x:c>
      <x:c r="H8" s="41" t="str">
        <x:v>https://doi.org/10.1111/j.1911-3846.1995.tb00461.x</x:v>
      </x:c>
      <x:c r="I8" s="41" t="str">
        <x:v>Framework, not a universal valuation multiple.</x:v>
      </x:c>
      <x:c r="J8" s="23"/>
    </x:row>
    <x:row r="9">
      <x:c r="A9" s="7"/>
      <x:c r="B9" s="7"/>
      <x:c r="C9" s="25" t="str">
        <x:v>EQX-10K</x:v>
      </x:c>
      <x:c r="D9" s="41" t="str">
        <x:v>Equinix FY2025 Form 10-K</x:v>
      </x:c>
      <x:c r="E9" s="25" t="str">
        <x:v>SEC filing</x:v>
      </x:c>
      <x:c r="F9" s="25" t="str">
        <x:v>FY ended 31-Dec-2025; filed 11-Feb-2026</x:v>
      </x:c>
      <x:c r="G9" s="25" t="str">
        <x:v>Equinix consolidated</x:v>
      </x:c>
      <x:c r="H9" s="41" t="str">
        <x:v>https://www.sec.gov/Archives/edgar/data/1101239/000110123926000032/eqix-20251231.htm</x:v>
      </x:c>
      <x:c r="I9" s="41" t="str">
        <x:v>SEC accession index separates period end from filing date; company-defined recurring capex and project commitments.</x:v>
      </x:c>
      <x:c r="J9" s="23"/>
    </x:row>
    <x:row r="10">
      <x:c r="A10" s="7"/>
      <x:c r="B10" s="7"/>
      <x:c r="C10" s="25" t="str">
        <x:v>CBK-2025</x:v>
      </x:c>
      <x:c r="D10" s="41" t="str">
        <x:v>CBK Bank Supervision Annual Report 2025</x:v>
      </x:c>
      <x:c r="E10" s="25" t="str">
        <x:v>Regulator</x:v>
      </x:c>
      <x:c r="F10" s="25" t="str">
        <x:v>2025 reporting period; published 23-Sep-2026</x:v>
      </x:c>
      <x:c r="G10" s="25" t="str">
        <x:v>Kenyan banking system</x:v>
      </x:c>
      <x:c r="H10" s="41" t="str">
        <x:v>https://www.centralbank.go.ke/uploads/banking_sector_annual_reports/1241268828_ANNUAL%20REPORT%202025.pdf</x:v>
      </x:c>
      <x:c r="I10" s="41" t="str">
        <x:v>System aggregates, not issuer capital; publication date is not the banking observation period.</x:v>
      </x:c>
      <x:c r="J10" s="23"/>
    </x:row>
    <x:row r="11">
      <x:c r="A11" s="7"/>
      <x:c r="B11" s="7"/>
      <x:c r="C11" s="25" t="str">
        <x:v>JUB-2025</x:v>
      </x:c>
      <x:c r="D11" s="41" t="str">
        <x:v>Jubilee FY2025 results release</x:v>
      </x:c>
      <x:c r="E11" s="25" t="str">
        <x:v>Issuer results release</x:v>
      </x:c>
      <x:c r="F11" s="25" t="str">
        <x:v>FY ended 31-Dec-2025; released 09-Apr-2026</x:v>
      </x:c>
      <x:c r="G11" s="25" t="str">
        <x:v>Jubilee Holdings group</x:v>
      </x:c>
      <x:c r="H11" s="41" t="str">
        <x:v>https://jubileeinsurance.com/group/newsroom/jubilee-holdings-declares-a-record-dividend-following-18-increase-in-net-profit/</x:v>
      </x:c>
      <x:c r="I11" s="41" t="str">
        <x:v>Keep PBT, PAT, gross premiums/deposit contributions, insurance service and regulated cash distinct.</x:v>
      </x:c>
      <x:c r="J11" s="23"/>
    </x:row>
    <x:row r="12">
      <x:c r="A12" s="7"/>
      <x:c r="B12" s="7"/>
      <x:c r="C12" s="25" t="str">
        <x:v>EQUITY-25</x:v>
      </x:c>
      <x:c r="D12" s="41" t="str">
        <x:v>Equity Group FY2025 results announcement</x:v>
      </x:c>
      <x:c r="E12" s="25" t="str">
        <x:v>Issuer results release</x:v>
      </x:c>
      <x:c r="F12" s="25" t="str">
        <x:v>FY ended 31-Dec-2025; released 18-Mar-2026</x:v>
      </x:c>
      <x:c r="G12" s="25" t="str">
        <x:v>Equity Group Holdings consolidated</x:v>
      </x:c>
      <x:c r="H12" s="41" t="str">
        <x:v>https://equitygroupholdings.com/equity-group-records-historic-results-reporting-a-55-growth-in-profit-after-tax-of-kshs-75-5-billion-underscoring-the-success-of-its-strategic-transformation/</x:v>
      </x:c>
      <x:c r="I12" s="41" t="str">
        <x:v>Fills source-ID gap in NSE Casebook; issuer release figures are not parent distributable cash or a full bank-capital model.</x:v>
      </x:c>
      <x:c r="J12" s="23"/>
    </x:row>
    <x:row r="13">
      <x:c r="A13" s="7"/>
      <x:c r="B13" s="7"/>
      <x:c r="C13" s="25" t="str">
        <x:v>KENGEN-25</x:v>
      </x:c>
      <x:c r="D13" s="41" t="str">
        <x:v>KenGen Integrated Annual Report 2025</x:v>
      </x:c>
      <x:c r="E13" s="25" t="str">
        <x:v>Issuer audited report</x:v>
      </x:c>
      <x:c r="F13" s="25" t="str">
        <x:v>FY ended 30-Jun-2025; approved 10-Nov; listed 28-Nov-2025</x:v>
      </x:c>
      <x:c r="G13" s="25" t="str">
        <x:v>KenGen PLC consolidated</x:v>
      </x:c>
      <x:c r="H13" s="41" t="str">
        <x:v>https://www.kengen.co.ke/images/2025/KenGen_Integrated_Annual_Report__Financial_Statement_2025.pdf</x:v>
      </x:c>
      <x:c r="I13" s="41" t="str">
        <x:v>FY2025 is a June year-end; capital investment is not all maintenance.</x:v>
      </x:c>
      <x:c r="J13" s="23"/>
    </x:row>
    <x:row r="14">
      <x:c r="A14" s="7"/>
      <x:c r="B14" s="7"/>
      <x:c r="C14" s="25" t="str">
        <x:v>KAKUZI-25</x:v>
      </x:c>
      <x:c r="D14" s="41" t="str">
        <x:v>Kakuzi 2025 annual report / results</x:v>
      </x:c>
      <x:c r="E14" s="25" t="str">
        <x:v>Issuer report and results release</x:v>
      </x:c>
      <x:c r="F14" s="25" t="str">
        <x:v>FY ended 31-Dec-2025; report listed 24-Mar, results released 25-Mar-2026</x:v>
      </x:c>
      <x:c r="G14" s="25" t="str">
        <x:v>Kakuzi PLC consolidated</x:v>
      </x:c>
      <x:c r="H14" s="41" t="str">
        <x:v>https://www.kakuzi.co.ke/company-reports</x:v>
      </x:c>
      <x:c r="I14" s="41" t="str">
        <x:v>Crop and biological-asset evidence; distinguish year-end from report listing and result-release dates.</x:v>
      </x:c>
      <x:c r="J14" s="23"/>
    </x:row>
    <x:row r="15">
      <x:c r="A15" s="7"/>
      <x:c r="B15" s="7"/>
      <x:c r="C15" s="25" t="str">
        <x:v>SAF-FY26</x:v>
      </x:c>
      <x:c r="D15" s="41" t="str">
        <x:v>Safaricom FY2026 Results Booklet</x:v>
      </x:c>
      <x:c r="E15" s="25" t="str">
        <x:v>Issuer results booklet</x:v>
      </x:c>
      <x:c r="F15" s="25" t="str">
        <x:v>FY ended 31-Mar-2026; booklet dated 07-May-2026</x:v>
      </x:c>
      <x:c r="G15" s="25" t="str">
        <x:v>Safaricom group</x:v>
      </x:c>
      <x:c r="H15" s="41" t="str">
        <x:v>https://www.safaricom.co.ke/images/Downloads/FY26-Earnings-Booklet-2026-7th-May-2026.pdf</x:v>
      </x:c>
      <x:c r="I15" s="41" t="str">
        <x:v>Only service revenue is entered in NSE Casebook; blank cash/capex fields mean not populated, not zero.</x:v>
      </x:c>
      <x:c r="J15" s="23"/>
    </x:row>
    <x:row r="16">
      <x:c r="A16" s="7"/>
      <x:c r="B16" s="7"/>
      <x:c r="C16" s="25" t="str">
        <x:v>BAT-25</x:v>
      </x:c>
      <x:c r="D16" s="41" t="str">
        <x:v>BAT Kenya audited FY2025 results</x:v>
      </x:c>
      <x:c r="E16" s="25" t="str">
        <x:v>Issuer audited results</x:v>
      </x:c>
      <x:c r="F16" s="25" t="str">
        <x:v>FY2025</x:v>
      </x:c>
      <x:c r="G16" s="25" t="str">
        <x:v>BAT Kenya consolidated</x:v>
      </x:c>
      <x:c r="H16" s="41" t="str">
        <x:v>https://www.batkenya.com/content/dam/endmarkets/ke/en/download/investors-and-reporting/financial-statements/bat_kenya-2025_full_year_results.pdf</x:v>
      </x:c>
      <x:c r="I16" s="41" t="str">
        <x:v>Includes cash flow, capex, tax, net revenue and dividends.</x:v>
      </x:c>
      <x:c r="J16" s="23"/>
    </x:row>
    <x:row r="17">
      <x:c r="A17" s="7"/>
      <x:c r="B17" s="7"/>
      <x:c r="C17" s="25" t="str">
        <x:v>HOME-25</x:v>
      </x:c>
      <x:c r="D17" s="41" t="str">
        <x:v>Home Afrika 2025 Integrated Annual Report</x:v>
      </x:c>
      <x:c r="E17" s="25" t="str">
        <x:v>Issuer audited report</x:v>
      </x:c>
      <x:c r="F17" s="25" t="str">
        <x:v>FY ended 31-Dec-2025; inspected listing does not establish publication date</x:v>
      </x:c>
      <x:c r="G17" s="25" t="str">
        <x:v>Home Afrika group</x:v>
      </x:c>
      <x:c r="H17" s="41" t="str">
        <x:v>https://www.homeafrika.com/static/uploads/media/integrated-annual-report-financial-statements-2025-1782322991.pdf</x:v>
      </x:c>
      <x:c r="I17" s="41" t="str">
        <x:v>Project-level completion, collections and entity data still required; blank casebook fields are not zero.</x:v>
      </x:c>
      <x:c r="J17" s="23"/>
    </x:row>
    <x:row r="18">
      <x:c r="A18" s="7"/>
      <x:c r="B18" s="7"/>
      <x:c r="C18" s="26" t="str">
        <x:v>LIVDAN</x:v>
      </x:c>
      <x:c r="D18" s="42" t="str">
        <x:v>Livdan and Nezlobin, replacement cost of assets</x:v>
      </x:c>
      <x:c r="E18" s="26" t="str">
        <x:v>Peer-reviewed</x:v>
      </x:c>
      <x:c r="F18" s="26" t="str">
        <x:v>2021</x:v>
      </x:c>
      <x:c r="G18" s="26" t="str">
        <x:v>Capital investment research</x:v>
      </x:c>
      <x:c r="H18" s="42" t="str">
        <x:v>https://doi.org/10.1016/j.jfineco.2021.05.021</x:v>
      </x:c>
      <x:c r="I18" s="42" t="str">
        <x:v>Useful-life and replacement-cost analysis.</x:v>
      </x:c>
      <x:c r="J18" s="23"/>
    </x:row>
    <x:row r="19">
      <x:c r="A19" s="7"/>
      <x:c r="B19" s="7"/>
      <x:c r="C19" s="23"/>
      <x:c r="D19" s="23"/>
      <x:c r="E19" s="23"/>
      <x:c r="F19" s="23"/>
      <x:c r="G19" s="23"/>
      <x:c r="H19" s="23"/>
      <x:c r="I19" s="23"/>
      <x:c r="J19" s="23"/>
    </x:row>
    <x:row r="20">
      <x:c r="A20" s="7"/>
      <x:c r="B20" s="7"/>
      <x:c r="C20" s="109" t="str">
        <x:v>Formula and source checks</x:v>
      </x:c>
      <x:c r="D20" s="109"/>
      <x:c r="E20" s="109"/>
      <x:c r="F20" s="109"/>
      <x:c r="G20" s="23"/>
      <x:c r="H20" s="23"/>
      <x:c r="I20" s="23"/>
      <x:c r="J20" s="23"/>
    </x:row>
    <x:row r="21" ht="30" customHeight="1">
      <x:c r="A21" s="7"/>
      <x:c r="B21" s="7"/>
      <x:c r="C21" s="22" t="str">
        <x:v>Check</x:v>
      </x:c>
      <x:c r="D21" s="22" t="str">
        <x:v>Result</x:v>
      </x:c>
      <x:c r="E21" s="22" t="str">
        <x:v>Tolerance / rule</x:v>
      </x:c>
      <x:c r="F21" s="22" t="str">
        <x:v>Interpretation</x:v>
      </x:c>
      <x:c r="G21" s="23"/>
      <x:c r="H21" s="23"/>
      <x:c r="I21" s="23"/>
      <x:c r="J21" s="23"/>
    </x:row>
    <x:row r="22">
      <x:c r="A22" s="7"/>
      <x:c r="B22" s="7"/>
      <x:c r="C22" s="40" t="str">
        <x:v>NVIDIA reported gross cash-use subtotal</x:v>
      </x:c>
      <x:c r="D22" s="43" t="n">
        <x:f>'Filing Inputs'!D12-('Filing Inputs'!D10+'Filing Inputs'!D11)</x:f>
        <x:v>0</x:v>
      </x:c>
      <x:c r="E22" s="24" t="str">
        <x:v>0.000 USD bn</x:v>
      </x:c>
      <x:c r="F22" s="40" t="str">
        <x:v>Equals AR and inventory uses only; not net NWC.</x:v>
      </x:c>
      <x:c r="G22" s="23"/>
      <x:c r="H22" s="23"/>
      <x:c r="I22" s="23"/>
      <x:c r="J22" s="23"/>
    </x:row>
    <x:row r="23">
      <x:c r="A23" s="7"/>
      <x:c r="B23" s="7"/>
      <x:c r="C23" s="41" t="str">
        <x:v>NVIDIA estimate readiness</x:v>
      </x:c>
      <x:c r="D23" s="44" t="n">
        <x:f>IF(AND(Assumptions!F7&lt;&gt;"",Assumptions!F8&lt;&gt;""),0,1)</x:f>
        <x:v>1</x:v>
      </x:c>
      <x:c r="E23" s="25" t="str">
        <x:v>Both maintenance and net NWC required</x:v>
      </x:c>
      <x:c r="F23" s="41" t="str">
        <x:v>Empty analyst inputs stay unavailable.</x:v>
      </x:c>
      <x:c r="G23" s="23"/>
      <x:c r="H23" s="23"/>
      <x:c r="I23" s="23"/>
      <x:c r="J23" s="23"/>
    </x:row>
    <x:row r="24">
      <x:c r="A24" s="7"/>
      <x:c r="B24" s="7"/>
      <x:c r="C24" s="41" t="str">
        <x:v>Bank capital illustration ratio</x:v>
      </x:c>
      <x:c r="D24" s="44" t="n">
        <x:f>'Bank Insurance'!D22</x:f>
        <x:v>0.19642857142857142</x:v>
      </x:c>
      <x:c r="E24" s="25" t="str">
        <x:v>19.6% approx.</x:v>
      </x:c>
      <x:c r="F24" s="41" t="str">
        <x:v>Simplified scenario; not statutory calculation.</x:v>
      </x:c>
      <x:c r="G24" s="23"/>
      <x:c r="H24" s="23"/>
      <x:c r="I24" s="23"/>
      <x:c r="J24" s="23"/>
    </x:row>
    <x:row r="25">
      <x:c r="A25" s="7"/>
      <x:c r="B25" s="7"/>
      <x:c r="C25" s="42" t="str">
        <x:v>KenGen capital investment / PAT</x:v>
      </x:c>
      <x:c r="D25" s="45" t="n">
        <x:f>'NSE Casebook'!H8/'NSE Casebook'!F8</x:f>
        <x:v>1.6919187100467514</x:v>
      </x:c>
      <x:c r="E25" s="26" t="str">
        <x:v>1.69x approx.</x:v>
      </x:c>
      <x:c r="F25" s="42" t="str">
        <x:v>Reported cap investment divided by reported PAT.</x:v>
      </x:c>
      <x:c r="G25" s="23"/>
      <x:c r="H25" s="23"/>
      <x:c r="I25" s="23"/>
      <x:c r="J25" s="23"/>
    </x:row>
    <x:row r="26">
      <x:c r="A26" s="7"/>
      <x:c r="B26" s="7"/>
      <x:c r="C26" s="23"/>
      <x:c r="D26" s="110" t="n">
        <x:f>ROUND((6.042+0.101),1)-'Filing Inputs'!D9</x:f>
        <x:v>0</x:v>
      </x:c>
      <x:c r="E26" s="23"/>
      <x:c r="F26" s="23"/>
      <x:c r="G26" s="23"/>
      <x:c r="H26" s="23"/>
      <x:c r="I26" s="23"/>
      <x:c r="J26" s="23"/>
    </x:row>
    <x:row r="27">
      <x:c r="A27" s="7"/>
      <x:c r="B27" s="7"/>
      <x:c r="C27" s="23"/>
      <x:c r="D27" s="23"/>
      <x:c r="E27" s="23"/>
      <x:c r="F27" s="23"/>
      <x:c r="G27" s="23"/>
      <x:c r="H27" s="23"/>
      <x:c r="I27" s="23"/>
      <x:c r="J27" s="23"/>
    </x:row>
    <x:row r="28">
      <x:c r="A28" s="7"/>
      <x:c r="B28" s="7"/>
      <x:c r="C28" s="23"/>
      <x:c r="D28" s="23"/>
      <x:c r="E28" s="23"/>
      <x:c r="F28" s="23"/>
      <x:c r="G28" s="23"/>
      <x:c r="H28" s="23"/>
      <x:c r="I28" s="23"/>
      <x:c r="J28" s="23"/>
    </x:row>
    <x:row r="29">
      <x:c r="A29" s="7"/>
      <x:c r="B29" s="7"/>
      <x:c r="C29" s="23"/>
      <x:c r="D29" s="23"/>
      <x:c r="E29" s="23"/>
      <x:c r="F29" s="23"/>
      <x:c r="G29" s="23"/>
      <x:c r="H29" s="23"/>
      <x:c r="I29" s="23"/>
      <x:c r="J29" s="23"/>
    </x:row>
    <x:row r="30">
      <x:c r="A30" s="7"/>
      <x:c r="B30" s="7"/>
      <x:c r="C30" s="23"/>
      <x:c r="D30" s="23"/>
      <x:c r="E30" s="23"/>
      <x:c r="F30" s="23"/>
      <x:c r="G30" s="23"/>
      <x:c r="H30" s="23"/>
      <x:c r="I30" s="23"/>
      <x:c r="J30" s="23"/>
    </x:row>
    <x:row r="31">
      <x:c r="A31" s="7"/>
      <x:c r="B31" s="7"/>
      <x:c r="C31" s="23"/>
      <x:c r="D31" s="23"/>
      <x:c r="E31" s="23"/>
      <x:c r="F31" s="23"/>
      <x:c r="G31" s="23"/>
      <x:c r="H31" s="23"/>
      <x:c r="I31" s="23"/>
      <x:c r="J31" s="23"/>
    </x:row>
    <x:row r="32">
      <x:c r="A32" s="7"/>
      <x:c r="B32" s="7"/>
      <x:c r="C32" s="23"/>
      <x:c r="D32" s="23"/>
      <x:c r="E32" s="23"/>
      <x:c r="F32" s="23"/>
      <x:c r="G32" s="23"/>
      <x:c r="H32" s="23"/>
      <x:c r="I32" s="23"/>
      <x:c r="J32" s="23"/>
    </x:row>
    <x:row r="33">
      <x:c r="A33" s="7"/>
      <x:c r="B33" s="7"/>
      <x:c r="C33" s="23"/>
      <x:c r="D33" s="23"/>
      <x:c r="E33" s="23"/>
      <x:c r="F33" s="23"/>
      <x:c r="G33" s="23"/>
      <x:c r="H33" s="23"/>
      <x:c r="I33" s="23"/>
      <x:c r="J33" s="23"/>
    </x:row>
    <x:row r="34">
      <x:c r="A34" s="7"/>
      <x:c r="B34" s="7"/>
      <x:c r="C34" s="23"/>
      <x:c r="D34" s="23"/>
      <x:c r="E34" s="23"/>
      <x:c r="F34" s="23"/>
      <x:c r="G34" s="23"/>
      <x:c r="H34" s="23"/>
      <x:c r="I34" s="23"/>
      <x:c r="J34" s="23"/>
    </x:row>
    <x:row r="35">
      <x:c r="A35" s="7"/>
      <x:c r="B35" s="7"/>
      <x:c r="C35" s="23"/>
      <x:c r="D35" s="23"/>
      <x:c r="E35" s="23"/>
      <x:c r="F35" s="23"/>
      <x:c r="G35" s="23"/>
      <x:c r="H35" s="23"/>
      <x:c r="I35" s="23"/>
      <x:c r="J35" s="23"/>
    </x:row>
    <x:row r="36">
      <x:c r="A36" s="7"/>
      <x:c r="B36" s="7"/>
      <x:c r="C36" s="23"/>
      <x:c r="D36" s="23"/>
      <x:c r="E36" s="23"/>
      <x:c r="F36" s="23"/>
      <x:c r="G36" s="23"/>
      <x:c r="H36" s="23"/>
      <x:c r="I36" s="23"/>
      <x:c r="J36" s="23"/>
    </x:row>
    <x:row r="37">
      <x:c r="A37" s="7"/>
      <x:c r="B37" s="7"/>
      <x:c r="C37" s="23"/>
      <x:c r="D37" s="23"/>
      <x:c r="E37" s="23"/>
      <x:c r="F37" s="23"/>
      <x:c r="G37" s="23"/>
      <x:c r="H37" s="23"/>
      <x:c r="I37" s="23"/>
      <x:c r="J37" s="23"/>
    </x:row>
    <x:row r="38">
      <x:c r="A38" s="7"/>
      <x:c r="B38" s="7"/>
      <x:c r="C38" s="23"/>
      <x:c r="D38" s="23"/>
      <x:c r="E38" s="23"/>
      <x:c r="F38" s="23"/>
      <x:c r="G38" s="23"/>
      <x:c r="H38" s="23"/>
      <x:c r="I38" s="23"/>
      <x:c r="J38" s="23"/>
    </x:row>
    <x:row r="39">
      <x:c r="A39" s="7"/>
      <x:c r="B39" s="7"/>
      <x:c r="C39" s="23"/>
      <x:c r="D39" s="23"/>
      <x:c r="E39" s="23"/>
      <x:c r="F39" s="23"/>
      <x:c r="G39" s="23"/>
      <x:c r="H39" s="23"/>
      <x:c r="I39" s="23"/>
      <x:c r="J39" s="23"/>
    </x:row>
    <x:row r="40">
      <x:c r="A40" s="7"/>
      <x:c r="B40" s="7"/>
      <x:c r="C40" s="23"/>
      <x:c r="D40" s="23"/>
      <x:c r="E40" s="23"/>
      <x:c r="F40" s="23"/>
      <x:c r="G40" s="23"/>
      <x:c r="H40" s="23"/>
      <x:c r="I40" s="23"/>
      <x:c r="J40" s="23"/>
    </x:row>
    <x:row r="41">
      <x:c r="A41" s="7"/>
      <x:c r="B41" s="7"/>
      <x:c r="C41" s="23"/>
      <x:c r="D41" s="23"/>
      <x:c r="E41" s="23"/>
      <x:c r="F41" s="23"/>
      <x:c r="G41" s="23"/>
      <x:c r="H41" s="23"/>
      <x:c r="I41" s="23"/>
      <x:c r="J41" s="23"/>
    </x:row>
    <x:row r="42">
      <x:c r="A42" s="7"/>
      <x:c r="B42" s="7"/>
      <x:c r="C42" s="23"/>
      <x:c r="D42" s="23"/>
      <x:c r="E42" s="23"/>
      <x:c r="F42" s="23"/>
      <x:c r="G42" s="23"/>
      <x:c r="H42" s="23"/>
      <x:c r="I42" s="23"/>
      <x:c r="J42" s="23"/>
    </x:row>
    <x:row r="43">
      <x:c r="A43" s="7"/>
      <x:c r="B43" s="7"/>
      <x:c r="C43" s="23"/>
      <x:c r="D43" s="23"/>
      <x:c r="E43" s="23"/>
      <x:c r="F43" s="23"/>
      <x:c r="G43" s="23"/>
      <x:c r="H43" s="23"/>
      <x:c r="I43" s="23"/>
      <x:c r="J43" s="23"/>
    </x:row>
    <x:row r="44">
      <x:c r="A44" s="7"/>
      <x:c r="B44" s="7"/>
      <x:c r="C44" s="23"/>
      <x:c r="D44" s="23"/>
      <x:c r="E44" s="23"/>
      <x:c r="F44" s="23"/>
      <x:c r="G44" s="23"/>
      <x:c r="H44" s="23"/>
      <x:c r="I44" s="23"/>
      <x:c r="J44" s="23"/>
    </x:row>
    <x:row r="45">
      <x:c r="A45" s="7"/>
      <x:c r="B45" s="7"/>
      <x:c r="C45" s="23"/>
      <x:c r="D45" s="23"/>
      <x:c r="E45" s="23"/>
      <x:c r="F45" s="23"/>
      <x:c r="G45" s="23"/>
      <x:c r="H45" s="23"/>
      <x:c r="I45" s="23"/>
      <x:c r="J45" s="23"/>
    </x:row>
    <x:row r="46">
      <x:c r="A46" s="7"/>
      <x:c r="B46" s="7"/>
      <x:c r="C46" s="23"/>
      <x:c r="D46" s="23"/>
      <x:c r="E46" s="23"/>
      <x:c r="F46" s="23"/>
      <x:c r="G46" s="23"/>
      <x:c r="H46" s="23"/>
      <x:c r="I46" s="23"/>
      <x:c r="J46" s="23"/>
    </x:row>
    <x:row r="47">
      <x:c r="A47" s="7"/>
      <x:c r="B47" s="7"/>
      <x:c r="C47" s="23"/>
      <x:c r="D47" s="23"/>
      <x:c r="E47" s="23"/>
      <x:c r="F47" s="23"/>
      <x:c r="G47" s="23"/>
      <x:c r="H47" s="23"/>
      <x:c r="I47" s="23"/>
      <x:c r="J47" s="23"/>
    </x:row>
    <x:row r="48">
      <x:c r="A48" s="7"/>
      <x:c r="B48" s="7"/>
      <x:c r="C48" s="23"/>
      <x:c r="D48" s="23"/>
      <x:c r="E48" s="23"/>
      <x:c r="F48" s="23"/>
      <x:c r="G48" s="23"/>
      <x:c r="H48" s="23"/>
      <x:c r="I48" s="23"/>
      <x:c r="J48" s="23"/>
    </x:row>
    <x:row r="49">
      <x:c r="A49" s="7"/>
      <x:c r="B49" s="7"/>
      <x:c r="C49" s="23"/>
      <x:c r="D49" s="23"/>
      <x:c r="E49" s="23"/>
      <x:c r="F49" s="23"/>
      <x:c r="G49" s="23"/>
      <x:c r="H49" s="23"/>
      <x:c r="I49" s="23"/>
      <x:c r="J49" s="23"/>
    </x:row>
    <x:row r="50">
      <x:c r="A50" s="7"/>
      <x:c r="B50" s="7"/>
      <x:c r="C50" s="23"/>
      <x:c r="D50" s="23"/>
      <x:c r="E50" s="23"/>
      <x:c r="F50" s="23"/>
      <x:c r="G50" s="23"/>
      <x:c r="H50" s="23"/>
      <x:c r="I50" s="23"/>
      <x:c r="J50" s="23"/>
    </x:row>
    <x:row r="51">
      <x:c r="A51" s="7"/>
      <x:c r="B51" s="7"/>
      <x:c r="C51" s="23"/>
      <x:c r="D51" s="23"/>
      <x:c r="E51" s="23"/>
      <x:c r="F51" s="23"/>
      <x:c r="G51" s="23"/>
      <x:c r="H51" s="23"/>
      <x:c r="I51" s="23"/>
      <x:c r="J51" s="23"/>
    </x:row>
    <x:row r="52">
      <x:c r="A52" s="7"/>
      <x:c r="B52" s="7"/>
      <x:c r="C52" s="23"/>
      <x:c r="D52" s="23"/>
      <x:c r="E52" s="23"/>
      <x:c r="F52" s="23"/>
      <x:c r="G52" s="23"/>
      <x:c r="H52" s="23"/>
      <x:c r="I52" s="23"/>
      <x:c r="J52" s="23"/>
    </x:row>
    <x:row r="53">
      <x:c r="A53" s="7"/>
      <x:c r="B53" s="7"/>
      <x:c r="C53" s="23"/>
      <x:c r="D53" s="23"/>
      <x:c r="E53" s="23"/>
      <x:c r="F53" s="23"/>
      <x:c r="G53" s="23"/>
      <x:c r="H53" s="23"/>
      <x:c r="I53" s="23"/>
      <x:c r="J53" s="23"/>
    </x:row>
    <x:row r="54">
      <x:c r="A54" s="7"/>
      <x:c r="B54" s="7"/>
      <x:c r="C54" s="23"/>
      <x:c r="D54" s="23"/>
      <x:c r="E54" s="23"/>
      <x:c r="F54" s="23"/>
      <x:c r="G54" s="23"/>
      <x:c r="H54" s="23"/>
      <x:c r="I54" s="23"/>
      <x:c r="J54" s="23"/>
    </x:row>
    <x:row r="55">
      <x:c r="A55" s="7"/>
      <x:c r="B55" s="7"/>
      <x:c r="C55" s="23"/>
      <x:c r="D55" s="23"/>
      <x:c r="E55" s="23"/>
      <x:c r="F55" s="23"/>
      <x:c r="G55" s="23"/>
      <x:c r="H55" s="23"/>
      <x:c r="I55" s="23"/>
      <x:c r="J55" s="23"/>
    </x:row>
    <x:row r="56">
      <x:c r="A56" s="7"/>
      <x:c r="B56" s="7"/>
      <x:c r="C56" s="23"/>
      <x:c r="D56" s="23"/>
      <x:c r="E56" s="23"/>
      <x:c r="F56" s="23"/>
      <x:c r="G56" s="23"/>
      <x:c r="H56" s="23"/>
      <x:c r="I56" s="23"/>
      <x:c r="J56" s="23"/>
    </x:row>
    <x:row r="57">
      <x:c r="A57" s="7"/>
      <x:c r="B57" s="7"/>
      <x:c r="C57" s="23"/>
      <x:c r="D57" s="23"/>
      <x:c r="E57" s="23"/>
      <x:c r="F57" s="23"/>
      <x:c r="G57" s="23"/>
      <x:c r="H57" s="23"/>
      <x:c r="I57" s="23"/>
      <x:c r="J57" s="23"/>
    </x:row>
    <x:row r="58">
      <x:c r="A58" s="7"/>
      <x:c r="B58" s="7"/>
      <x:c r="C58" s="23"/>
      <x:c r="D58" s="23"/>
      <x:c r="E58" s="23"/>
      <x:c r="F58" s="23"/>
      <x:c r="G58" s="23"/>
      <x:c r="H58" s="23"/>
      <x:c r="I58" s="23"/>
      <x:c r="J58" s="23"/>
    </x:row>
    <x:row r="59">
      <x:c r="A59" s="7"/>
      <x:c r="B59" s="7"/>
      <x:c r="C59" s="23"/>
      <x:c r="D59" s="23"/>
      <x:c r="E59" s="23"/>
      <x:c r="F59" s="23"/>
      <x:c r="G59" s="23"/>
      <x:c r="H59" s="23"/>
      <x:c r="I59" s="23"/>
      <x:c r="J59" s="23"/>
    </x:row>
    <x:row r="60">
      <x:c r="A60" s="7"/>
      <x:c r="B60" s="7"/>
      <x:c r="C60" s="23"/>
      <x:c r="D60" s="23"/>
      <x:c r="E60" s="23"/>
      <x:c r="F60" s="23"/>
      <x:c r="G60" s="23"/>
      <x:c r="H60" s="23"/>
      <x:c r="I60" s="23"/>
      <x:c r="J60" s="23"/>
    </x:row>
    <x:row r="61">
      <x:c r="A61" s="7"/>
      <x:c r="B61" s="7"/>
      <x:c r="C61" s="23"/>
      <x:c r="D61" s="23"/>
      <x:c r="E61" s="23"/>
      <x:c r="F61" s="23"/>
      <x:c r="G61" s="23"/>
      <x:c r="H61" s="23"/>
      <x:c r="I61" s="23"/>
      <x:c r="J61" s="23"/>
    </x:row>
    <x:row r="62">
      <x:c r="A62" s="7"/>
      <x:c r="B62" s="7"/>
      <x:c r="C62" s="23"/>
      <x:c r="D62" s="23"/>
      <x:c r="E62" s="23"/>
      <x:c r="F62" s="23"/>
      <x:c r="G62" s="23"/>
      <x:c r="H62" s="23"/>
      <x:c r="I62" s="23"/>
      <x:c r="J62" s="23"/>
    </x:row>
    <x:row r="63">
      <x:c r="A63" s="7"/>
      <x:c r="B63" s="7"/>
      <x:c r="C63" s="23"/>
      <x:c r="D63" s="23"/>
      <x:c r="E63" s="23"/>
      <x:c r="F63" s="23"/>
      <x:c r="G63" s="23"/>
      <x:c r="H63" s="23"/>
      <x:c r="I63" s="23"/>
      <x:c r="J63" s="23"/>
    </x:row>
    <x:row r="64">
      <x:c r="A64" s="7"/>
      <x:c r="B64" s="7"/>
      <x:c r="C64" s="23"/>
      <x:c r="D64" s="23"/>
      <x:c r="E64" s="23"/>
      <x:c r="F64" s="23"/>
      <x:c r="G64" s="23"/>
      <x:c r="H64" s="23"/>
      <x:c r="I64" s="23"/>
      <x:c r="J64" s="23"/>
    </x:row>
    <x:row r="65">
      <x:c r="A65" s="7"/>
      <x:c r="B65" s="7"/>
      <x:c r="C65" s="23"/>
      <x:c r="D65" s="23"/>
      <x:c r="E65" s="23"/>
      <x:c r="F65" s="23"/>
      <x:c r="G65" s="23"/>
      <x:c r="H65" s="23"/>
      <x:c r="I65" s="23"/>
      <x:c r="J65" s="23"/>
    </x:row>
    <x:row r="66">
      <x:c r="A66" s="7"/>
      <x:c r="B66" s="7"/>
      <x:c r="C66" s="23"/>
      <x:c r="D66" s="23"/>
      <x:c r="E66" s="23"/>
      <x:c r="F66" s="23"/>
      <x:c r="G66" s="23"/>
      <x:c r="H66" s="23"/>
      <x:c r="I66" s="23"/>
      <x:c r="J66" s="23"/>
    </x:row>
    <x:row r="67">
      <x:c r="A67" s="7"/>
      <x:c r="B67" s="7"/>
      <x:c r="C67" s="23"/>
      <x:c r="D67" s="23"/>
      <x:c r="E67" s="23"/>
      <x:c r="F67" s="23"/>
      <x:c r="G67" s="23"/>
      <x:c r="H67" s="23"/>
      <x:c r="I67" s="23"/>
      <x:c r="J67" s="23"/>
    </x:row>
    <x:row r="68">
      <x:c r="A68" s="7"/>
      <x:c r="B68" s="7"/>
      <x:c r="C68" s="23"/>
      <x:c r="D68" s="23"/>
      <x:c r="E68" s="23"/>
      <x:c r="F68" s="23"/>
      <x:c r="G68" s="23"/>
      <x:c r="H68" s="23"/>
      <x:c r="I68" s="23"/>
      <x:c r="J68" s="23"/>
    </x:row>
    <x:row r="69">
      <x:c r="A69" s="7"/>
      <x:c r="B69" s="7"/>
      <x:c r="C69" s="23"/>
      <x:c r="D69" s="23"/>
      <x:c r="E69" s="23"/>
      <x:c r="F69" s="23"/>
      <x:c r="G69" s="23"/>
      <x:c r="H69" s="23"/>
      <x:c r="I69" s="23"/>
      <x:c r="J69" s="23"/>
    </x:row>
    <x:row r="70">
      <x:c r="A70" s="7"/>
      <x:c r="B70" s="7"/>
      <x:c r="C70" s="23"/>
      <x:c r="D70" s="23"/>
      <x:c r="E70" s="23"/>
      <x:c r="F70" s="23"/>
      <x:c r="G70" s="23"/>
      <x:c r="H70" s="23"/>
      <x:c r="I70" s="23"/>
      <x:c r="J70" s="23"/>
    </x:row>
    <x:row r="71">
      <x:c r="A71" s="7"/>
      <x:c r="B71" s="7"/>
      <x:c r="C71" s="23"/>
      <x:c r="D71" s="23"/>
      <x:c r="E71" s="23"/>
      <x:c r="F71" s="23"/>
      <x:c r="G71" s="23"/>
      <x:c r="H71" s="23"/>
      <x:c r="I71" s="23"/>
      <x:c r="J71" s="23"/>
    </x:row>
    <x:row r="72">
      <x:c r="A72" s="7"/>
      <x:c r="B72" s="7"/>
      <x:c r="C72" s="23"/>
      <x:c r="D72" s="23"/>
      <x:c r="E72" s="23"/>
      <x:c r="F72" s="23"/>
      <x:c r="G72" s="23"/>
      <x:c r="H72" s="23"/>
      <x:c r="I72" s="23"/>
      <x:c r="J72" s="23"/>
    </x:row>
    <x:row r="73">
      <x:c r="A73" s="7"/>
      <x:c r="B73" s="7"/>
      <x:c r="C73" s="23"/>
      <x:c r="D73" s="23"/>
      <x:c r="E73" s="23"/>
      <x:c r="F73" s="23"/>
      <x:c r="G73" s="23"/>
      <x:c r="H73" s="23"/>
      <x:c r="I73" s="23"/>
      <x:c r="J73" s="23"/>
    </x:row>
    <x:row r="74">
      <x:c r="A74" s="7"/>
      <x:c r="B74" s="7"/>
      <x:c r="C74" s="23"/>
      <x:c r="D74" s="23"/>
      <x:c r="E74" s="23"/>
      <x:c r="F74" s="23"/>
      <x:c r="G74" s="23"/>
      <x:c r="H74" s="23"/>
      <x:c r="I74" s="23"/>
      <x:c r="J74" s="23"/>
    </x:row>
    <x:row r="75">
      <x:c r="A75" s="7"/>
      <x:c r="B75" s="7"/>
      <x:c r="C75" s="23"/>
      <x:c r="D75" s="23"/>
      <x:c r="E75" s="23"/>
      <x:c r="F75" s="23"/>
      <x:c r="G75" s="23"/>
      <x:c r="H75" s="23"/>
      <x:c r="I75" s="23"/>
      <x:c r="J75" s="23"/>
    </x:row>
    <x:row r="76">
      <x:c r="A76" s="7"/>
      <x:c r="B76" s="7"/>
      <x:c r="C76" s="23"/>
      <x:c r="D76" s="23"/>
      <x:c r="E76" s="23"/>
      <x:c r="F76" s="23"/>
      <x:c r="G76" s="23"/>
      <x:c r="H76" s="23"/>
      <x:c r="I76" s="23"/>
      <x:c r="J76" s="23"/>
    </x:row>
    <x:row r="77">
      <x:c r="A77" s="7"/>
      <x:c r="B77" s="7"/>
      <x:c r="C77" s="23"/>
      <x:c r="D77" s="23"/>
      <x:c r="E77" s="23"/>
      <x:c r="F77" s="23"/>
      <x:c r="G77" s="23"/>
      <x:c r="H77" s="23"/>
      <x:c r="I77" s="23"/>
      <x:c r="J77" s="23"/>
    </x:row>
    <x:row r="78">
      <x:c r="A78" s="7"/>
      <x:c r="B78" s="7"/>
      <x:c r="C78" s="23"/>
      <x:c r="D78" s="23"/>
      <x:c r="E78" s="23"/>
      <x:c r="F78" s="23"/>
      <x:c r="G78" s="23"/>
      <x:c r="H78" s="23"/>
      <x:c r="I78" s="23"/>
      <x:c r="J78" s="23"/>
    </x:row>
    <x:row r="79">
      <x:c r="A79" s="7"/>
      <x:c r="B79" s="7"/>
      <x:c r="C79" s="23"/>
      <x:c r="D79" s="23"/>
      <x:c r="E79" s="23"/>
      <x:c r="F79" s="23"/>
      <x:c r="G79" s="23"/>
      <x:c r="H79" s="23"/>
      <x:c r="I79" s="23"/>
      <x:c r="J79" s="23"/>
    </x:row>
    <x:row r="80">
      <x:c r="A80" s="7"/>
      <x:c r="B80" s="7"/>
      <x:c r="C80" s="23"/>
      <x:c r="D80" s="23"/>
      <x:c r="E80" s="23"/>
      <x:c r="F80" s="23"/>
      <x:c r="G80" s="23"/>
      <x:c r="H80" s="23"/>
      <x:c r="I80" s="23"/>
      <x:c r="J80" s="23"/>
    </x:row>
    <x:row r="81">
      <x:c r="A81" s="7"/>
      <x:c r="B81" s="7"/>
      <x:c r="C81" s="23"/>
      <x:c r="D81" s="23"/>
      <x:c r="E81" s="23"/>
      <x:c r="F81" s="23"/>
      <x:c r="G81" s="23"/>
      <x:c r="H81" s="23"/>
      <x:c r="I81" s="23"/>
      <x:c r="J81" s="23"/>
    </x:row>
    <x:row r="82">
      <x:c r="A82" s="7"/>
      <x:c r="B82" s="7"/>
      <x:c r="C82" s="23"/>
      <x:c r="D82" s="23"/>
      <x:c r="E82" s="23"/>
      <x:c r="F82" s="23"/>
      <x:c r="G82" s="23"/>
      <x:c r="H82" s="23"/>
      <x:c r="I82" s="23"/>
      <x:c r="J82" s="23"/>
    </x:row>
    <x:row r="83">
      <x:c r="A83" s="7"/>
      <x:c r="B83" s="7"/>
      <x:c r="C83" s="23"/>
      <x:c r="D83" s="23"/>
      <x:c r="E83" s="23"/>
      <x:c r="F83" s="23"/>
      <x:c r="G83" s="23"/>
      <x:c r="H83" s="23"/>
      <x:c r="I83" s="23"/>
      <x:c r="J83" s="23"/>
    </x:row>
    <x:row r="84">
      <x:c r="A84" s="7"/>
      <x:c r="B84" s="7"/>
      <x:c r="C84" s="23"/>
      <x:c r="D84" s="23"/>
      <x:c r="E84" s="23"/>
      <x:c r="F84" s="23"/>
      <x:c r="G84" s="23"/>
      <x:c r="H84" s="23"/>
      <x:c r="I84" s="23"/>
      <x:c r="J84" s="23"/>
    </x:row>
    <x:row r="85">
      <x:c r="A85" s="7"/>
      <x:c r="B85" s="7"/>
      <x:c r="C85" s="23"/>
      <x:c r="D85" s="23"/>
      <x:c r="E85" s="23"/>
      <x:c r="F85" s="23"/>
      <x:c r="G85" s="23"/>
      <x:c r="H85" s="23"/>
      <x:c r="I85" s="23"/>
      <x:c r="J85" s="23"/>
    </x:row>
    <x:row r="86">
      <x:c r="A86" s="7"/>
      <x:c r="B86" s="7"/>
      <x:c r="C86" s="23"/>
      <x:c r="D86" s="23"/>
      <x:c r="E86" s="23"/>
      <x:c r="F86" s="23"/>
      <x:c r="G86" s="23"/>
      <x:c r="H86" s="23"/>
      <x:c r="I86" s="23"/>
      <x:c r="J86" s="23"/>
    </x:row>
    <x:row r="87">
      <x:c r="A87" s="7"/>
      <x:c r="B87" s="7"/>
      <x:c r="C87" s="23"/>
      <x:c r="D87" s="23"/>
      <x:c r="E87" s="23"/>
      <x:c r="F87" s="23"/>
      <x:c r="G87" s="23"/>
      <x:c r="H87" s="23"/>
      <x:c r="I87" s="23"/>
      <x:c r="J87" s="23"/>
    </x:row>
    <x:row r="88">
      <x:c r="A88" s="7"/>
      <x:c r="B88" s="7"/>
      <x:c r="C88" s="23"/>
      <x:c r="D88" s="23"/>
      <x:c r="E88" s="23"/>
      <x:c r="F88" s="23"/>
      <x:c r="G88" s="23"/>
      <x:c r="H88" s="23"/>
      <x:c r="I88" s="23"/>
      <x:c r="J88" s="23"/>
    </x:row>
    <x:row r="89">
      <x:c r="A89" s="7"/>
      <x:c r="B89" s="7"/>
      <x:c r="C89" s="23"/>
      <x:c r="D89" s="23"/>
      <x:c r="E89" s="23"/>
      <x:c r="F89" s="23"/>
      <x:c r="G89" s="23"/>
      <x:c r="H89" s="23"/>
      <x:c r="I89" s="23"/>
      <x:c r="J89" s="23"/>
    </x:row>
    <x:row r="90">
      <x:c r="A90" s="7"/>
      <x:c r="B90" s="7"/>
      <x:c r="C90" s="23"/>
      <x:c r="D90" s="23"/>
      <x:c r="E90" s="23"/>
      <x:c r="F90" s="23"/>
      <x:c r="G90" s="23"/>
      <x:c r="H90" s="23"/>
      <x:c r="I90" s="23"/>
      <x:c r="J90" s="23"/>
    </x:row>
    <x:row r="91">
      <x:c r="A91" s="7"/>
      <x:c r="B91" s="7"/>
      <x:c r="C91" s="23"/>
      <x:c r="D91" s="23"/>
      <x:c r="E91" s="23"/>
      <x:c r="F91" s="23"/>
      <x:c r="G91" s="23"/>
      <x:c r="H91" s="23"/>
      <x:c r="I91" s="23"/>
      <x:c r="J91" s="23"/>
    </x:row>
    <x:row r="92">
      <x:c r="A92" s="7"/>
      <x:c r="B92" s="7"/>
      <x:c r="C92" s="23"/>
      <x:c r="D92" s="23"/>
      <x:c r="E92" s="23"/>
      <x:c r="F92" s="23"/>
      <x:c r="G92" s="23"/>
      <x:c r="H92" s="23"/>
      <x:c r="I92" s="23"/>
      <x:c r="J92" s="23"/>
    </x:row>
    <x:row r="93">
      <x:c r="A93" s="7"/>
      <x:c r="B93" s="7"/>
      <x:c r="C93" s="23"/>
      <x:c r="D93" s="23"/>
      <x:c r="E93" s="23"/>
      <x:c r="F93" s="23"/>
      <x:c r="G93" s="23"/>
      <x:c r="H93" s="23"/>
      <x:c r="I93" s="23"/>
      <x:c r="J93" s="23"/>
    </x:row>
    <x:row r="94">
      <x:c r="A94" s="7"/>
      <x:c r="B94" s="7"/>
      <x:c r="C94" s="23"/>
      <x:c r="D94" s="23"/>
      <x:c r="E94" s="23"/>
      <x:c r="F94" s="23"/>
      <x:c r="G94" s="23"/>
      <x:c r="H94" s="23"/>
      <x:c r="I94" s="23"/>
      <x:c r="J94" s="23"/>
    </x:row>
    <x:row r="95">
      <x:c r="A95" s="7"/>
      <x:c r="B95" s="7"/>
      <x:c r="C95" s="23"/>
      <x:c r="D95" s="23"/>
      <x:c r="E95" s="23"/>
      <x:c r="F95" s="23"/>
      <x:c r="G95" s="23"/>
      <x:c r="H95" s="23"/>
      <x:c r="I95" s="23"/>
      <x:c r="J95" s="23"/>
    </x:row>
    <x:row r="96">
      <x:c r="A96" s="7"/>
      <x:c r="B96" s="7"/>
      <x:c r="C96" s="23"/>
      <x:c r="D96" s="23"/>
      <x:c r="E96" s="23"/>
      <x:c r="F96" s="23"/>
      <x:c r="G96" s="23"/>
      <x:c r="H96" s="23"/>
      <x:c r="I96" s="23"/>
      <x:c r="J96" s="23"/>
    </x:row>
    <x:row r="97">
      <x:c r="A97" s="7"/>
      <x:c r="B97" s="7"/>
      <x:c r="C97" s="23"/>
      <x:c r="D97" s="23"/>
      <x:c r="E97" s="23"/>
      <x:c r="F97" s="23"/>
      <x:c r="G97" s="23"/>
      <x:c r="H97" s="23"/>
      <x:c r="I97" s="23"/>
      <x:c r="J97" s="23"/>
    </x:row>
    <x:row r="98">
      <x:c r="A98" s="7"/>
      <x:c r="B98" s="7"/>
      <x:c r="C98" s="23"/>
      <x:c r="D98" s="23"/>
      <x:c r="E98" s="23"/>
      <x:c r="F98" s="23"/>
      <x:c r="G98" s="23"/>
      <x:c r="H98" s="23"/>
      <x:c r="I98" s="23"/>
      <x:c r="J98" s="23"/>
    </x:row>
    <x:row r="99">
      <x:c r="A99" s="7"/>
      <x:c r="B99" s="7"/>
      <x:c r="C99" s="23"/>
      <x:c r="D99" s="23"/>
      <x:c r="E99" s="23"/>
      <x:c r="F99" s="23"/>
      <x:c r="G99" s="23"/>
      <x:c r="H99" s="23"/>
      <x:c r="I99" s="23"/>
      <x:c r="J99" s="23"/>
    </x:row>
    <x:row r="100">
      <x:c r="A100" s="7"/>
      <x:c r="B100" s="7"/>
      <x:c r="C100" s="23"/>
      <x:c r="D100" s="23"/>
      <x:c r="E100" s="23"/>
      <x:c r="F100" s="23"/>
      <x:c r="G100" s="23"/>
      <x:c r="H100" s="23"/>
      <x:c r="I100" s="23"/>
      <x:c r="J100" s="23"/>
    </x:row>
    <x:row r="101">
      <x:c r="A101" s="7"/>
      <x:c r="B101" s="7"/>
      <x:c r="C101" s="23"/>
      <x:c r="D101" s="23"/>
      <x:c r="E101" s="23"/>
      <x:c r="F101" s="23"/>
      <x:c r="G101" s="23"/>
      <x:c r="H101" s="23"/>
      <x:c r="I101" s="23"/>
      <x:c r="J101" s="23"/>
    </x:row>
    <x:row r="102">
      <x:c r="A102" s="7"/>
      <x:c r="B102" s="7"/>
      <x:c r="C102" s="23"/>
      <x:c r="D102" s="23"/>
      <x:c r="E102" s="23"/>
      <x:c r="F102" s="23"/>
      <x:c r="G102" s="23"/>
      <x:c r="H102" s="23"/>
      <x:c r="I102" s="23"/>
      <x:c r="J102" s="23"/>
    </x:row>
    <x:row r="103">
      <x:c r="A103" s="7"/>
      <x:c r="B103" s="7"/>
      <x:c r="C103" s="23"/>
      <x:c r="D103" s="23"/>
      <x:c r="E103" s="23"/>
      <x:c r="F103" s="23"/>
      <x:c r="G103" s="23"/>
      <x:c r="H103" s="23"/>
      <x:c r="I103" s="23"/>
      <x:c r="J103" s="23"/>
    </x:row>
    <x:row r="104">
      <x:c r="A104" s="7"/>
      <x:c r="B104" s="7"/>
      <x:c r="C104" s="23"/>
      <x:c r="D104" s="23"/>
      <x:c r="E104" s="23"/>
      <x:c r="F104" s="23"/>
      <x:c r="G104" s="23"/>
      <x:c r="H104" s="23"/>
      <x:c r="I104" s="23"/>
      <x:c r="J104" s="23"/>
    </x:row>
    <x:row r="105">
      <x:c r="A105" s="7"/>
      <x:c r="B105" s="7"/>
      <x:c r="C105" s="23"/>
      <x:c r="D105" s="23"/>
      <x:c r="E105" s="23"/>
      <x:c r="F105" s="23"/>
      <x:c r="G105" s="23"/>
      <x:c r="H105" s="23"/>
      <x:c r="I105" s="23"/>
      <x:c r="J105" s="23"/>
    </x:row>
    <x:row r="106">
      <x:c r="A106" s="7"/>
      <x:c r="B106" s="7"/>
      <x:c r="C106" s="23"/>
      <x:c r="D106" s="23"/>
      <x:c r="E106" s="23"/>
      <x:c r="F106" s="23"/>
      <x:c r="G106" s="23"/>
      <x:c r="H106" s="23"/>
      <x:c r="I106" s="23"/>
      <x:c r="J106" s="23"/>
    </x:row>
    <x:row r="107">
      <x:c r="A107" s="7"/>
      <x:c r="B107" s="7"/>
      <x:c r="C107" s="23"/>
      <x:c r="D107" s="23"/>
      <x:c r="E107" s="23"/>
      <x:c r="F107" s="23"/>
      <x:c r="G107" s="23"/>
      <x:c r="H107" s="23"/>
      <x:c r="I107" s="23"/>
      <x:c r="J107" s="23"/>
    </x:row>
    <x:row r="108">
      <x:c r="A108" s="7"/>
      <x:c r="B108" s="7"/>
      <x:c r="C108" s="23"/>
      <x:c r="D108" s="23"/>
      <x:c r="E108" s="23"/>
      <x:c r="F108" s="23"/>
      <x:c r="G108" s="23"/>
      <x:c r="H108" s="23"/>
      <x:c r="I108" s="23"/>
      <x:c r="J108" s="23"/>
    </x:row>
    <x:row r="109">
      <x:c r="A109" s="7"/>
      <x:c r="B109" s="7"/>
      <x:c r="C109" s="23"/>
      <x:c r="D109" s="23"/>
      <x:c r="E109" s="23"/>
      <x:c r="F109" s="23"/>
      <x:c r="G109" s="23"/>
      <x:c r="H109" s="23"/>
      <x:c r="I109" s="23"/>
      <x:c r="J109" s="23"/>
    </x:row>
    <x:row r="110">
      <x:c r="A110" s="7"/>
      <x:c r="B110" s="7"/>
      <x:c r="C110" s="23"/>
      <x:c r="D110" s="23"/>
      <x:c r="E110" s="23"/>
      <x:c r="F110" s="23"/>
      <x:c r="G110" s="23"/>
      <x:c r="H110" s="23"/>
      <x:c r="I110" s="23"/>
      <x:c r="J110" s="23"/>
    </x:row>
    <x:row r="111">
      <x:c r="A111" s="7"/>
      <x:c r="B111" s="7"/>
      <x:c r="C111" s="23"/>
      <x:c r="D111" s="23"/>
      <x:c r="E111" s="23"/>
      <x:c r="F111" s="23"/>
      <x:c r="G111" s="23"/>
      <x:c r="H111" s="23"/>
      <x:c r="I111" s="23"/>
      <x:c r="J111" s="23"/>
    </x:row>
    <x:row r="112">
      <x:c r="A112" s="7"/>
      <x:c r="B112" s="7"/>
      <x:c r="C112" s="23"/>
      <x:c r="D112" s="23"/>
      <x:c r="E112" s="23"/>
      <x:c r="F112" s="23"/>
      <x:c r="G112" s="23"/>
      <x:c r="H112" s="23"/>
      <x:c r="I112" s="23"/>
      <x:c r="J112" s="23"/>
    </x:row>
    <x:row r="113">
      <x:c r="A113" s="7"/>
      <x:c r="B113" s="7"/>
      <x:c r="C113" s="23"/>
      <x:c r="D113" s="23"/>
      <x:c r="E113" s="23"/>
      <x:c r="F113" s="23"/>
      <x:c r="G113" s="23"/>
      <x:c r="H113" s="23"/>
      <x:c r="I113" s="23"/>
      <x:c r="J113" s="23"/>
    </x:row>
    <x:row r="114">
      <x:c r="A114" s="7"/>
      <x:c r="B114" s="7"/>
      <x:c r="C114" s="23"/>
      <x:c r="D114" s="23"/>
      <x:c r="E114" s="23"/>
      <x:c r="F114" s="23"/>
      <x:c r="G114" s="23"/>
      <x:c r="H114" s="23"/>
      <x:c r="I114" s="23"/>
      <x:c r="J114" s="23"/>
    </x:row>
    <x:row r="115">
      <x:c r="A115" s="7"/>
      <x:c r="B115" s="7"/>
      <x:c r="C115" s="23"/>
      <x:c r="D115" s="23"/>
      <x:c r="E115" s="23"/>
      <x:c r="F115" s="23"/>
      <x:c r="G115" s="23"/>
      <x:c r="H115" s="23"/>
      <x:c r="I115" s="23"/>
      <x:c r="J115" s="23"/>
    </x:row>
    <x:row r="116">
      <x:c r="A116" s="7"/>
      <x:c r="B116" s="7"/>
      <x:c r="C116" s="23"/>
      <x:c r="D116" s="23"/>
      <x:c r="E116" s="23"/>
      <x:c r="F116" s="23"/>
      <x:c r="G116" s="23"/>
      <x:c r="H116" s="23"/>
      <x:c r="I116" s="23"/>
      <x:c r="J116" s="23"/>
    </x:row>
    <x:row r="117">
      <x:c r="A117" s="7"/>
      <x:c r="B117" s="7"/>
      <x:c r="C117" s="23"/>
      <x:c r="D117" s="23"/>
      <x:c r="E117" s="23"/>
      <x:c r="F117" s="23"/>
      <x:c r="G117" s="23"/>
      <x:c r="H117" s="23"/>
      <x:c r="I117" s="23"/>
      <x:c r="J117" s="23"/>
    </x:row>
    <x:row r="118">
      <x:c r="A118" s="7"/>
      <x:c r="B118" s="7"/>
      <x:c r="C118" s="23"/>
      <x:c r="D118" s="23"/>
      <x:c r="E118" s="23"/>
      <x:c r="F118" s="23"/>
      <x:c r="G118" s="23"/>
      <x:c r="H118" s="23"/>
      <x:c r="I118" s="23"/>
      <x:c r="J118" s="23"/>
    </x:row>
    <x:row r="119">
      <x:c r="A119" s="7"/>
      <x:c r="B119" s="7"/>
      <x:c r="C119" s="23"/>
      <x:c r="D119" s="23"/>
      <x:c r="E119" s="23"/>
      <x:c r="F119" s="23"/>
      <x:c r="G119" s="23"/>
      <x:c r="H119" s="23"/>
      <x:c r="I119" s="23"/>
      <x:c r="J119" s="23"/>
    </x:row>
    <x:row r="120">
      <x:c r="A120" s="7"/>
      <x:c r="B120" s="7"/>
      <x:c r="C120" s="23"/>
      <x:c r="D120" s="23"/>
      <x:c r="E120" s="23"/>
      <x:c r="F120" s="23"/>
      <x:c r="G120" s="23"/>
      <x:c r="H120" s="23"/>
      <x:c r="I120" s="23"/>
      <x:c r="J120" s="23"/>
    </x:row>
    <x:row r="121">
      <x:c r="A121" s="7"/>
      <x:c r="B121" s="7"/>
      <x:c r="C121" s="23"/>
      <x:c r="D121" s="23"/>
      <x:c r="E121" s="23"/>
      <x:c r="F121" s="23"/>
      <x:c r="G121" s="23"/>
      <x:c r="H121" s="23"/>
      <x:c r="I121" s="23"/>
      <x:c r="J121" s="23"/>
    </x:row>
    <x:row r="122">
      <x:c r="A122" s="7"/>
      <x:c r="B122" s="7"/>
      <x:c r="C122" s="23"/>
      <x:c r="D122" s="23"/>
      <x:c r="E122" s="23"/>
      <x:c r="F122" s="23"/>
      <x:c r="G122" s="23"/>
      <x:c r="H122" s="23"/>
      <x:c r="I122" s="23"/>
      <x:c r="J122" s="23"/>
    </x:row>
    <x:row r="123">
      <x:c r="A123" s="7"/>
      <x:c r="B123" s="7"/>
      <x:c r="C123" s="23"/>
      <x:c r="D123" s="23"/>
      <x:c r="E123" s="23"/>
      <x:c r="F123" s="23"/>
      <x:c r="G123" s="23"/>
      <x:c r="H123" s="23"/>
      <x:c r="I123" s="23"/>
      <x:c r="J123" s="23"/>
    </x:row>
    <x:row r="124">
      <x:c r="A124" s="7"/>
      <x:c r="B124" s="7"/>
      <x:c r="C124" s="23"/>
      <x:c r="D124" s="23"/>
      <x:c r="E124" s="23"/>
      <x:c r="F124" s="23"/>
      <x:c r="G124" s="23"/>
      <x:c r="H124" s="23"/>
      <x:c r="I124" s="23"/>
      <x:c r="J124" s="23"/>
    </x:row>
    <x:row r="125">
      <x:c r="A125" s="7"/>
      <x:c r="B125" s="7"/>
      <x:c r="C125" s="23"/>
      <x:c r="D125" s="23"/>
      <x:c r="E125" s="23"/>
      <x:c r="F125" s="23"/>
      <x:c r="G125" s="23"/>
      <x:c r="H125" s="23"/>
      <x:c r="I125" s="23"/>
      <x:c r="J125" s="23"/>
    </x:row>
    <x:row r="126">
      <x:c r="A126" s="7"/>
      <x:c r="B126" s="7"/>
      <x:c r="C126" s="23"/>
      <x:c r="D126" s="23"/>
      <x:c r="E126" s="23"/>
      <x:c r="F126" s="23"/>
      <x:c r="G126" s="23"/>
      <x:c r="H126" s="23"/>
      <x:c r="I126" s="23"/>
      <x:c r="J126" s="23"/>
    </x:row>
    <x:row r="127">
      <x:c r="A127" s="7"/>
      <x:c r="B127" s="7"/>
      <x:c r="C127" s="23"/>
      <x:c r="D127" s="23"/>
      <x:c r="E127" s="23"/>
      <x:c r="F127" s="23"/>
      <x:c r="G127" s="23"/>
      <x:c r="H127" s="23"/>
      <x:c r="I127" s="23"/>
      <x:c r="J127" s="23"/>
    </x:row>
    <x:row r="128">
      <x:c r="A128" s="7"/>
      <x:c r="B128" s="7"/>
      <x:c r="C128" s="23"/>
      <x:c r="D128" s="23"/>
      <x:c r="E128" s="23"/>
      <x:c r="F128" s="23"/>
      <x:c r="G128" s="23"/>
      <x:c r="H128" s="23"/>
      <x:c r="I128" s="23"/>
      <x:c r="J128" s="23"/>
    </x:row>
    <x:row r="129">
      <x:c r="A129" s="7"/>
      <x:c r="B129" s="7"/>
      <x:c r="C129" s="23"/>
      <x:c r="D129" s="23"/>
      <x:c r="E129" s="23"/>
      <x:c r="F129" s="23"/>
      <x:c r="G129" s="23"/>
      <x:c r="H129" s="23"/>
      <x:c r="I129" s="23"/>
      <x:c r="J129" s="23"/>
    </x:row>
    <x:row r="130">
      <x:c r="A130" s="7"/>
      <x:c r="B130" s="7"/>
      <x:c r="C130" s="23"/>
      <x:c r="D130" s="23"/>
      <x:c r="E130" s="23"/>
      <x:c r="F130" s="23"/>
      <x:c r="G130" s="23"/>
      <x:c r="H130" s="23"/>
      <x:c r="I130" s="23"/>
      <x:c r="J130" s="23"/>
    </x:row>
    <x:row r="131">
      <x:c r="A131" s="7"/>
      <x:c r="B131" s="7"/>
      <x:c r="C131" s="23"/>
      <x:c r="D131" s="23"/>
      <x:c r="E131" s="23"/>
      <x:c r="F131" s="23"/>
      <x:c r="G131" s="23"/>
      <x:c r="H131" s="23"/>
      <x:c r="I131" s="23"/>
      <x:c r="J131" s="23"/>
    </x:row>
    <x:row r="132">
      <x:c r="A132" s="7"/>
      <x:c r="B132" s="7"/>
      <x:c r="C132" s="23"/>
      <x:c r="D132" s="23"/>
      <x:c r="E132" s="23"/>
      <x:c r="F132" s="23"/>
      <x:c r="G132" s="23"/>
      <x:c r="H132" s="23"/>
      <x:c r="I132" s="23"/>
      <x:c r="J132" s="23"/>
    </x:row>
    <x:row r="133">
      <x:c r="A133" s="7"/>
      <x:c r="B133" s="7"/>
      <x:c r="C133" s="23"/>
      <x:c r="D133" s="23"/>
      <x:c r="E133" s="23"/>
      <x:c r="F133" s="23"/>
      <x:c r="G133" s="23"/>
      <x:c r="H133" s="23"/>
      <x:c r="I133" s="23"/>
      <x:c r="J133" s="23"/>
    </x:row>
    <x:row r="134">
      <x:c r="A134" s="7"/>
      <x:c r="B134" s="7"/>
      <x:c r="C134" s="23"/>
      <x:c r="D134" s="23"/>
      <x:c r="E134" s="23"/>
      <x:c r="F134" s="23"/>
      <x:c r="G134" s="23"/>
      <x:c r="H134" s="23"/>
      <x:c r="I134" s="23"/>
      <x:c r="J134" s="23"/>
    </x:row>
    <x:row r="135">
      <x:c r="A135" s="7"/>
      <x:c r="B135" s="7"/>
      <x:c r="C135" s="23"/>
      <x:c r="D135" s="23"/>
      <x:c r="E135" s="23"/>
      <x:c r="F135" s="23"/>
      <x:c r="G135" s="23"/>
      <x:c r="H135" s="23"/>
      <x:c r="I135" s="23"/>
      <x:c r="J135" s="23"/>
    </x:row>
    <x:row r="136">
      <x:c r="A136" s="7"/>
      <x:c r="B136" s="7"/>
      <x:c r="C136" s="23"/>
      <x:c r="D136" s="23"/>
      <x:c r="E136" s="23"/>
      <x:c r="F136" s="23"/>
      <x:c r="G136" s="23"/>
      <x:c r="H136" s="23"/>
      <x:c r="I136" s="23"/>
      <x:c r="J136" s="23"/>
    </x:row>
    <x:row r="137">
      <x:c r="A137" s="7"/>
      <x:c r="B137" s="7"/>
      <x:c r="C137" s="23"/>
      <x:c r="D137" s="23"/>
      <x:c r="E137" s="23"/>
      <x:c r="F137" s="23"/>
      <x:c r="G137" s="23"/>
      <x:c r="H137" s="23"/>
      <x:c r="I137" s="23"/>
      <x:c r="J137" s="23"/>
    </x:row>
    <x:row r="138">
      <x:c r="A138" s="7"/>
      <x:c r="B138" s="7"/>
      <x:c r="C138" s="23"/>
      <x:c r="D138" s="23"/>
      <x:c r="E138" s="23"/>
      <x:c r="F138" s="23"/>
      <x:c r="G138" s="23"/>
      <x:c r="H138" s="23"/>
      <x:c r="I138" s="23"/>
      <x:c r="J138" s="23"/>
    </x:row>
    <x:row r="139">
      <x:c r="A139" s="7"/>
      <x:c r="B139" s="7"/>
      <x:c r="C139" s="23"/>
      <x:c r="D139" s="23"/>
      <x:c r="E139" s="23"/>
      <x:c r="F139" s="23"/>
      <x:c r="G139" s="23"/>
      <x:c r="H139" s="23"/>
      <x:c r="I139" s="23"/>
      <x:c r="J139" s="23"/>
    </x:row>
    <x:row r="140">
      <x:c r="A140" s="7"/>
      <x:c r="B140" s="7"/>
      <x:c r="C140" s="23"/>
      <x:c r="D140" s="23"/>
      <x:c r="E140" s="23"/>
      <x:c r="F140" s="23"/>
      <x:c r="G140" s="23"/>
      <x:c r="H140" s="23"/>
      <x:c r="I140" s="23"/>
      <x:c r="J140" s="23"/>
    </x:row>
    <x:row r="141">
      <x:c r="A141" s="7"/>
      <x:c r="B141" s="7"/>
      <x:c r="C141" s="23"/>
      <x:c r="D141" s="23"/>
      <x:c r="E141" s="23"/>
      <x:c r="F141" s="23"/>
      <x:c r="G141" s="23"/>
      <x:c r="H141" s="23"/>
      <x:c r="I141" s="23"/>
      <x:c r="J141" s="23"/>
    </x:row>
    <x:row r="142">
      <x:c r="A142" s="7"/>
      <x:c r="B142" s="7"/>
      <x:c r="C142" s="23"/>
      <x:c r="D142" s="23"/>
      <x:c r="E142" s="23"/>
      <x:c r="F142" s="23"/>
      <x:c r="G142" s="23"/>
      <x:c r="H142" s="23"/>
      <x:c r="I142" s="23"/>
      <x:c r="J142" s="23"/>
    </x:row>
    <x:row r="143">
      <x:c r="A143" s="7"/>
      <x:c r="B143" s="7"/>
      <x:c r="C143" s="23"/>
      <x:c r="D143" s="23"/>
      <x:c r="E143" s="23"/>
      <x:c r="F143" s="23"/>
      <x:c r="G143" s="23"/>
      <x:c r="H143" s="23"/>
      <x:c r="I143" s="23"/>
      <x:c r="J143" s="23"/>
    </x:row>
    <x:row r="144">
      <x:c r="A144" s="7"/>
      <x:c r="B144" s="7"/>
      <x:c r="C144" s="23"/>
      <x:c r="D144" s="23"/>
      <x:c r="E144" s="23"/>
      <x:c r="F144" s="23"/>
      <x:c r="G144" s="23"/>
      <x:c r="H144" s="23"/>
      <x:c r="I144" s="23"/>
      <x:c r="J144" s="23"/>
    </x:row>
    <x:row r="145">
      <x:c r="A145" s="7"/>
      <x:c r="B145" s="7"/>
      <x:c r="C145" s="23"/>
      <x:c r="D145" s="23"/>
      <x:c r="E145" s="23"/>
      <x:c r="F145" s="23"/>
      <x:c r="G145" s="23"/>
      <x:c r="H145" s="23"/>
      <x:c r="I145" s="23"/>
      <x:c r="J145" s="23"/>
    </x:row>
    <x:row r="146">
      <x:c r="A146" s="7"/>
      <x:c r="B146" s="7"/>
      <x:c r="C146" s="23"/>
      <x:c r="D146" s="23"/>
      <x:c r="E146" s="23"/>
      <x:c r="F146" s="23"/>
      <x:c r="G146" s="23"/>
      <x:c r="H146" s="23"/>
      <x:c r="I146" s="23"/>
      <x:c r="J146" s="23"/>
    </x:row>
    <x:row r="147">
      <x:c r="A147" s="7"/>
      <x:c r="B147" s="7"/>
      <x:c r="C147" s="23"/>
      <x:c r="D147" s="23"/>
      <x:c r="E147" s="23"/>
      <x:c r="F147" s="23"/>
      <x:c r="G147" s="23"/>
      <x:c r="H147" s="23"/>
      <x:c r="I147" s="23"/>
      <x:c r="J147" s="23"/>
    </x:row>
    <x:row r="148">
      <x:c r="A148" s="7"/>
      <x:c r="B148" s="7"/>
      <x:c r="C148" s="23"/>
      <x:c r="D148" s="23"/>
      <x:c r="E148" s="23"/>
      <x:c r="F148" s="23"/>
      <x:c r="G148" s="23"/>
      <x:c r="H148" s="23"/>
      <x:c r="I148" s="23"/>
      <x:c r="J148" s="23"/>
    </x:row>
    <x:row r="149">
      <x:c r="A149" s="7"/>
      <x:c r="B149" s="7"/>
      <x:c r="C149" s="23"/>
      <x:c r="D149" s="23"/>
      <x:c r="E149" s="23"/>
      <x:c r="F149" s="23"/>
      <x:c r="G149" s="23"/>
      <x:c r="H149" s="23"/>
      <x:c r="I149" s="23"/>
      <x:c r="J149" s="23"/>
    </x:row>
    <x:row r="150">
      <x:c r="A150" s="7"/>
      <x:c r="B150" s="7"/>
      <x:c r="C150" s="23"/>
      <x:c r="D150" s="23"/>
      <x:c r="E150" s="23"/>
      <x:c r="F150" s="23"/>
      <x:c r="G150" s="23"/>
      <x:c r="H150" s="23"/>
      <x:c r="I150" s="23"/>
      <x:c r="J150" s="23"/>
    </x:row>
    <x:row r="151">
      <x:c r="A151" s="7"/>
      <x:c r="B151" s="7"/>
      <x:c r="C151" s="23"/>
      <x:c r="D151" s="23"/>
      <x:c r="E151" s="23"/>
      <x:c r="F151" s="23"/>
      <x:c r="G151" s="23"/>
      <x:c r="H151" s="23"/>
      <x:c r="I151" s="23"/>
      <x:c r="J151" s="23"/>
    </x:row>
    <x:row r="152">
      <x:c r="A152" s="7"/>
      <x:c r="B152" s="7"/>
      <x:c r="C152" s="23"/>
      <x:c r="D152" s="23"/>
      <x:c r="E152" s="23"/>
      <x:c r="F152" s="23"/>
      <x:c r="G152" s="23"/>
      <x:c r="H152" s="23"/>
      <x:c r="I152" s="23"/>
      <x:c r="J152" s="23"/>
    </x:row>
    <x:row r="153">
      <x:c r="A153" s="7"/>
      <x:c r="B153" s="7"/>
      <x:c r="C153" s="23"/>
      <x:c r="D153" s="23"/>
      <x:c r="E153" s="23"/>
      <x:c r="F153" s="23"/>
      <x:c r="G153" s="23"/>
      <x:c r="H153" s="23"/>
      <x:c r="I153" s="23"/>
      <x:c r="J153" s="23"/>
    </x:row>
    <x:row r="154">
      <x:c r="A154" s="7"/>
      <x:c r="B154" s="7"/>
      <x:c r="C154" s="23"/>
      <x:c r="D154" s="23"/>
      <x:c r="E154" s="23"/>
      <x:c r="F154" s="23"/>
      <x:c r="G154" s="23"/>
      <x:c r="H154" s="23"/>
      <x:c r="I154" s="23"/>
      <x:c r="J154" s="23"/>
    </x:row>
    <x:row r="155">
      <x:c r="A155" s="7"/>
      <x:c r="B155" s="7"/>
      <x:c r="C155" s="23"/>
      <x:c r="D155" s="23"/>
      <x:c r="E155" s="23"/>
      <x:c r="F155" s="23"/>
      <x:c r="G155" s="23"/>
      <x:c r="H155" s="23"/>
      <x:c r="I155" s="23"/>
      <x:c r="J155" s="23"/>
    </x:row>
    <x:row r="156">
      <x:c r="A156" s="7"/>
      <x:c r="B156" s="7"/>
      <x:c r="C156" s="23"/>
      <x:c r="D156" s="23"/>
      <x:c r="E156" s="23"/>
      <x:c r="F156" s="23"/>
      <x:c r="G156" s="23"/>
      <x:c r="H156" s="23"/>
      <x:c r="I156" s="23"/>
      <x:c r="J156" s="23"/>
    </x:row>
    <x:row r="157">
      <x:c r="A157" s="7"/>
      <x:c r="B157" s="7"/>
      <x:c r="C157" s="23"/>
      <x:c r="D157" s="23"/>
      <x:c r="E157" s="23"/>
      <x:c r="F157" s="23"/>
      <x:c r="G157" s="23"/>
      <x:c r="H157" s="23"/>
      <x:c r="I157" s="23"/>
      <x:c r="J157" s="23"/>
    </x:row>
    <x:row r="158">
      <x:c r="A158" s="7"/>
      <x:c r="B158" s="7"/>
      <x:c r="C158" s="23"/>
      <x:c r="D158" s="23"/>
      <x:c r="E158" s="23"/>
      <x:c r="F158" s="23"/>
      <x:c r="G158" s="23"/>
      <x:c r="H158" s="23"/>
      <x:c r="I158" s="23"/>
      <x:c r="J158" s="23"/>
    </x:row>
    <x:row r="159">
      <x:c r="A159" s="7"/>
      <x:c r="B159" s="7"/>
      <x:c r="C159" s="23"/>
      <x:c r="D159" s="23"/>
      <x:c r="E159" s="23"/>
      <x:c r="F159" s="23"/>
      <x:c r="G159" s="23"/>
      <x:c r="H159" s="23"/>
      <x:c r="I159" s="23"/>
      <x:c r="J159" s="23"/>
    </x:row>
    <x:row r="160">
      <x:c r="A160" s="7"/>
      <x:c r="B160" s="7"/>
      <x:c r="C160" s="23"/>
      <x:c r="D160" s="23"/>
      <x:c r="E160" s="23"/>
      <x:c r="F160" s="23"/>
      <x:c r="G160" s="23"/>
      <x:c r="H160" s="23"/>
      <x:c r="I160" s="23"/>
      <x:c r="J160" s="23"/>
    </x:row>
    <x:row r="161">
      <x:c r="A161" s="7"/>
      <x:c r="B161" s="7"/>
      <x:c r="C161" s="23"/>
      <x:c r="D161" s="23"/>
      <x:c r="E161" s="23"/>
      <x:c r="F161" s="23"/>
      <x:c r="G161" s="23"/>
      <x:c r="H161" s="23"/>
      <x:c r="I161" s="23"/>
      <x:c r="J161" s="23"/>
    </x:row>
    <x:row r="162">
      <x:c r="A162" s="7"/>
      <x:c r="B162" s="7"/>
      <x:c r="C162" s="23"/>
      <x:c r="D162" s="23"/>
      <x:c r="E162" s="23"/>
      <x:c r="F162" s="23"/>
      <x:c r="G162" s="23"/>
      <x:c r="H162" s="23"/>
      <x:c r="I162" s="23"/>
      <x:c r="J162" s="23"/>
    </x:row>
    <x:row r="163">
      <x:c r="A163" s="7"/>
      <x:c r="B163" s="7"/>
      <x:c r="C163" s="23"/>
      <x:c r="D163" s="23"/>
      <x:c r="E163" s="23"/>
      <x:c r="F163" s="23"/>
      <x:c r="G163" s="23"/>
      <x:c r="H163" s="23"/>
      <x:c r="I163" s="23"/>
      <x:c r="J163" s="23"/>
    </x:row>
    <x:row r="164">
      <x:c r="A164" s="7"/>
      <x:c r="B164" s="7"/>
      <x:c r="C164" s="23"/>
      <x:c r="D164" s="23"/>
      <x:c r="E164" s="23"/>
      <x:c r="F164" s="23"/>
      <x:c r="G164" s="23"/>
      <x:c r="H164" s="23"/>
      <x:c r="I164" s="23"/>
      <x:c r="J164" s="23"/>
    </x:row>
    <x:row r="165">
      <x:c r="A165" s="7"/>
      <x:c r="B165" s="7"/>
      <x:c r="C165" s="23"/>
      <x:c r="D165" s="23"/>
      <x:c r="E165" s="23"/>
      <x:c r="F165" s="23"/>
      <x:c r="G165" s="23"/>
      <x:c r="H165" s="23"/>
      <x:c r="I165" s="23"/>
      <x:c r="J165" s="23"/>
    </x:row>
    <x:row r="166">
      <x:c r="A166" s="7"/>
      <x:c r="B166" s="7"/>
      <x:c r="C166" s="23"/>
      <x:c r="D166" s="23"/>
      <x:c r="E166" s="23"/>
      <x:c r="F166" s="23"/>
      <x:c r="G166" s="23"/>
      <x:c r="H166" s="23"/>
      <x:c r="I166" s="23"/>
      <x:c r="J166" s="23"/>
    </x:row>
    <x:row r="167">
      <x:c r="A167" s="7"/>
      <x:c r="B167" s="7"/>
      <x:c r="C167" s="23"/>
      <x:c r="D167" s="23"/>
      <x:c r="E167" s="23"/>
      <x:c r="F167" s="23"/>
      <x:c r="G167" s="23"/>
      <x:c r="H167" s="23"/>
      <x:c r="I167" s="23"/>
      <x:c r="J167" s="23"/>
    </x:row>
    <x:row r="168">
      <x:c r="A168" s="7"/>
      <x:c r="B168" s="7"/>
      <x:c r="C168" s="23"/>
      <x:c r="D168" s="23"/>
      <x:c r="E168" s="23"/>
      <x:c r="F168" s="23"/>
      <x:c r="G168" s="23"/>
      <x:c r="H168" s="23"/>
      <x:c r="I168" s="23"/>
      <x:c r="J168" s="23"/>
    </x:row>
    <x:row r="169">
      <x:c r="A169" s="7"/>
      <x:c r="B169" s="7"/>
      <x:c r="C169" s="23"/>
      <x:c r="D169" s="23"/>
      <x:c r="E169" s="23"/>
      <x:c r="F169" s="23"/>
      <x:c r="G169" s="23"/>
      <x:c r="H169" s="23"/>
      <x:c r="I169" s="23"/>
      <x:c r="J169" s="23"/>
    </x:row>
    <x:row r="170">
      <x:c r="A170" s="7"/>
      <x:c r="B170" s="7"/>
      <x:c r="C170" s="23"/>
      <x:c r="D170" s="23"/>
      <x:c r="E170" s="23"/>
      <x:c r="F170" s="23"/>
      <x:c r="G170" s="23"/>
      <x:c r="H170" s="23"/>
      <x:c r="I170" s="23"/>
      <x:c r="J170" s="23"/>
    </x:row>
    <x:row r="171">
      <x:c r="A171" s="7"/>
      <x:c r="B171" s="7"/>
      <x:c r="C171" s="23"/>
      <x:c r="D171" s="23"/>
      <x:c r="E171" s="23"/>
      <x:c r="F171" s="23"/>
      <x:c r="G171" s="23"/>
      <x:c r="H171" s="23"/>
      <x:c r="I171" s="23"/>
      <x:c r="J171" s="23"/>
    </x:row>
    <x:row r="172">
      <x:c r="A172" s="7"/>
      <x:c r="B172" s="7"/>
      <x:c r="C172" s="23"/>
      <x:c r="D172" s="23"/>
      <x:c r="E172" s="23"/>
      <x:c r="F172" s="23"/>
      <x:c r="G172" s="23"/>
      <x:c r="H172" s="23"/>
      <x:c r="I172" s="23"/>
      <x:c r="J172" s="23"/>
    </x:row>
    <x:row r="173">
      <x:c r="A173" s="7"/>
      <x:c r="B173" s="7"/>
      <x:c r="C173" s="23"/>
      <x:c r="D173" s="23"/>
      <x:c r="E173" s="23"/>
      <x:c r="F173" s="23"/>
      <x:c r="G173" s="23"/>
      <x:c r="H173" s="23"/>
      <x:c r="I173" s="23"/>
      <x:c r="J173" s="23"/>
    </x:row>
    <x:row r="174">
      <x:c r="A174" s="7"/>
      <x:c r="B174" s="7"/>
      <x:c r="C174" s="23"/>
      <x:c r="D174" s="23"/>
      <x:c r="E174" s="23"/>
      <x:c r="F174" s="23"/>
      <x:c r="G174" s="23"/>
      <x:c r="H174" s="23"/>
      <x:c r="I174" s="23"/>
      <x:c r="J174" s="23"/>
    </x:row>
    <x:row r="175">
      <x:c r="A175" s="7"/>
      <x:c r="B175" s="7"/>
      <x:c r="C175" s="23"/>
      <x:c r="D175" s="23"/>
      <x:c r="E175" s="23"/>
      <x:c r="F175" s="23"/>
      <x:c r="G175" s="23"/>
      <x:c r="H175" s="23"/>
      <x:c r="I175" s="23"/>
      <x:c r="J175" s="23"/>
    </x:row>
    <x:row r="176">
      <x:c r="A176" s="7"/>
      <x:c r="B176" s="7"/>
      <x:c r="C176" s="23"/>
      <x:c r="D176" s="23"/>
      <x:c r="E176" s="23"/>
      <x:c r="F176" s="23"/>
      <x:c r="G176" s="23"/>
      <x:c r="H176" s="23"/>
      <x:c r="I176" s="23"/>
      <x:c r="J176" s="23"/>
    </x:row>
    <x:row r="177">
      <x:c r="A177" s="7"/>
      <x:c r="B177" s="7"/>
      <x:c r="C177" s="23"/>
      <x:c r="D177" s="23"/>
      <x:c r="E177" s="23"/>
      <x:c r="F177" s="23"/>
      <x:c r="G177" s="23"/>
      <x:c r="H177" s="23"/>
      <x:c r="I177" s="23"/>
      <x:c r="J177" s="23"/>
    </x:row>
    <x:row r="178">
      <x:c r="A178" s="7"/>
      <x:c r="B178" s="7"/>
      <x:c r="C178" s="23"/>
      <x:c r="D178" s="23"/>
      <x:c r="E178" s="23"/>
      <x:c r="F178" s="23"/>
      <x:c r="G178" s="23"/>
      <x:c r="H178" s="23"/>
      <x:c r="I178" s="23"/>
      <x:c r="J178" s="23"/>
    </x:row>
    <x:row r="179">
      <x:c r="A179" s="7"/>
      <x:c r="B179" s="7"/>
      <x:c r="C179" s="23"/>
      <x:c r="D179" s="23"/>
      <x:c r="E179" s="23"/>
      <x:c r="F179" s="23"/>
      <x:c r="G179" s="23"/>
      <x:c r="H179" s="23"/>
      <x:c r="I179" s="23"/>
      <x:c r="J179" s="23"/>
    </x:row>
    <x:row r="180">
      <x:c r="A180" s="7"/>
      <x:c r="B180" s="7"/>
      <x:c r="C180" s="23"/>
      <x:c r="D180" s="23"/>
      <x:c r="E180" s="23"/>
      <x:c r="F180" s="23"/>
      <x:c r="G180" s="23"/>
      <x:c r="H180" s="23"/>
      <x:c r="I180" s="23"/>
      <x:c r="J180" s="23"/>
    </x:row>
    <x:row r="181">
      <x:c r="A181" s="7"/>
      <x:c r="B181" s="7"/>
      <x:c r="C181" s="23"/>
      <x:c r="D181" s="23"/>
      <x:c r="E181" s="23"/>
      <x:c r="F181" s="23"/>
      <x:c r="G181" s="23"/>
      <x:c r="H181" s="23"/>
      <x:c r="I181" s="23"/>
      <x:c r="J181" s="23"/>
    </x:row>
    <x:row r="182">
      <x:c r="A182" s="7"/>
      <x:c r="B182" s="7"/>
      <x:c r="C182" s="23"/>
      <x:c r="D182" s="23"/>
      <x:c r="E182" s="23"/>
      <x:c r="F182" s="23"/>
      <x:c r="G182" s="23"/>
      <x:c r="H182" s="23"/>
      <x:c r="I182" s="23"/>
      <x:c r="J182" s="23"/>
    </x:row>
    <x:row r="183">
      <x:c r="A183" s="7"/>
      <x:c r="B183" s="7"/>
      <x:c r="C183" s="23"/>
      <x:c r="D183" s="23"/>
      <x:c r="E183" s="23"/>
      <x:c r="F183" s="23"/>
      <x:c r="G183" s="23"/>
      <x:c r="H183" s="23"/>
      <x:c r="I183" s="23"/>
      <x:c r="J183" s="23"/>
    </x:row>
    <x:row r="184">
      <x:c r="A184" s="7"/>
      <x:c r="B184" s="7"/>
      <x:c r="C184" s="23"/>
      <x:c r="D184" s="23"/>
      <x:c r="E184" s="23"/>
      <x:c r="F184" s="23"/>
      <x:c r="G184" s="23"/>
      <x:c r="H184" s="23"/>
      <x:c r="I184" s="23"/>
      <x:c r="J184" s="23"/>
    </x:row>
    <x:row r="185">
      <x:c r="A185" s="7"/>
      <x:c r="B185" s="7"/>
      <x:c r="C185" s="23"/>
      <x:c r="D185" s="23"/>
      <x:c r="E185" s="23"/>
      <x:c r="F185" s="23"/>
      <x:c r="G185" s="23"/>
      <x:c r="H185" s="23"/>
      <x:c r="I185" s="23"/>
      <x:c r="J185" s="23"/>
    </x:row>
    <x:row r="186">
      <x:c r="A186" s="7"/>
      <x:c r="B186" s="7"/>
      <x:c r="C186" s="23"/>
      <x:c r="D186" s="23"/>
      <x:c r="E186" s="23"/>
      <x:c r="F186" s="23"/>
      <x:c r="G186" s="23"/>
      <x:c r="H186" s="23"/>
      <x:c r="I186" s="23"/>
      <x:c r="J186" s="23"/>
    </x:row>
    <x:row r="187">
      <x:c r="A187" s="7"/>
      <x:c r="B187" s="7"/>
      <x:c r="C187" s="23"/>
      <x:c r="D187" s="23"/>
      <x:c r="E187" s="23"/>
      <x:c r="F187" s="23"/>
      <x:c r="G187" s="23"/>
      <x:c r="H187" s="23"/>
      <x:c r="I187" s="23"/>
      <x:c r="J187" s="23"/>
    </x:row>
    <x:row r="188">
      <x:c r="A188" s="7"/>
      <x:c r="B188" s="7"/>
      <x:c r="C188" s="23"/>
      <x:c r="D188" s="23"/>
      <x:c r="E188" s="23"/>
      <x:c r="F188" s="23"/>
      <x:c r="G188" s="23"/>
      <x:c r="H188" s="23"/>
      <x:c r="I188" s="23"/>
      <x:c r="J188" s="23"/>
    </x:row>
    <x:row r="189">
      <x:c r="A189" s="7"/>
      <x:c r="B189" s="7"/>
      <x:c r="C189" s="23"/>
      <x:c r="D189" s="23"/>
      <x:c r="E189" s="23"/>
      <x:c r="F189" s="23"/>
      <x:c r="G189" s="23"/>
      <x:c r="H189" s="23"/>
      <x:c r="I189" s="23"/>
      <x:c r="J189" s="23"/>
    </x:row>
    <x:row r="190">
      <x:c r="A190" s="7"/>
      <x:c r="B190" s="7"/>
      <x:c r="C190" s="23"/>
      <x:c r="D190" s="23"/>
      <x:c r="E190" s="23"/>
      <x:c r="F190" s="23"/>
      <x:c r="G190" s="23"/>
      <x:c r="H190" s="23"/>
      <x:c r="I190" s="23"/>
      <x:c r="J190" s="23"/>
    </x:row>
    <x:row r="191">
      <x:c r="A191" s="7"/>
      <x:c r="B191" s="7"/>
      <x:c r="C191" s="23"/>
      <x:c r="D191" s="23"/>
      <x:c r="E191" s="23"/>
      <x:c r="F191" s="23"/>
      <x:c r="G191" s="23"/>
      <x:c r="H191" s="23"/>
      <x:c r="I191" s="23"/>
      <x:c r="J191" s="23"/>
    </x:row>
    <x:row r="192">
      <x:c r="A192" s="7"/>
      <x:c r="B192" s="7"/>
      <x:c r="C192" s="23"/>
      <x:c r="D192" s="23"/>
      <x:c r="E192" s="23"/>
      <x:c r="F192" s="23"/>
      <x:c r="G192" s="23"/>
      <x:c r="H192" s="23"/>
      <x:c r="I192" s="23"/>
      <x:c r="J192" s="23"/>
    </x:row>
    <x:row r="193">
      <x:c r="A193" s="7"/>
      <x:c r="B193" s="7"/>
      <x:c r="C193" s="23"/>
      <x:c r="D193" s="23"/>
      <x:c r="E193" s="23"/>
      <x:c r="F193" s="23"/>
      <x:c r="G193" s="23"/>
      <x:c r="H193" s="23"/>
      <x:c r="I193" s="23"/>
      <x:c r="J193" s="23"/>
    </x:row>
    <x:row r="194">
      <x:c r="A194" s="7"/>
      <x:c r="B194" s="7"/>
      <x:c r="C194" s="23"/>
      <x:c r="D194" s="23"/>
      <x:c r="E194" s="23"/>
      <x:c r="F194" s="23"/>
      <x:c r="G194" s="23"/>
      <x:c r="H194" s="23"/>
      <x:c r="I194" s="23"/>
      <x:c r="J194" s="23"/>
    </x:row>
    <x:row r="195">
      <x:c r="A195" s="7"/>
      <x:c r="B195" s="7"/>
      <x:c r="C195" s="23"/>
      <x:c r="D195" s="23"/>
      <x:c r="E195" s="23"/>
      <x:c r="F195" s="23"/>
      <x:c r="G195" s="23"/>
      <x:c r="H195" s="23"/>
      <x:c r="I195" s="23"/>
      <x:c r="J195" s="23"/>
    </x:row>
    <x:row r="196">
      <x:c r="A196" s="7"/>
      <x:c r="B196" s="7"/>
      <x:c r="C196" s="23"/>
      <x:c r="D196" s="23"/>
      <x:c r="E196" s="23"/>
      <x:c r="F196" s="23"/>
      <x:c r="G196" s="23"/>
      <x:c r="H196" s="23"/>
      <x:c r="I196" s="23"/>
      <x:c r="J196" s="23"/>
    </x:row>
    <x:row r="197">
      <x:c r="A197" s="7"/>
      <x:c r="B197" s="7"/>
      <x:c r="C197" s="23"/>
      <x:c r="D197" s="23"/>
      <x:c r="E197" s="23"/>
      <x:c r="F197" s="23"/>
      <x:c r="G197" s="23"/>
      <x:c r="H197" s="23"/>
      <x:c r="I197" s="23"/>
      <x:c r="J197" s="23"/>
    </x:row>
    <x:row r="198">
      <x:c r="A198" s="7"/>
      <x:c r="B198" s="7"/>
      <x:c r="C198" s="23"/>
      <x:c r="D198" s="23"/>
      <x:c r="E198" s="23"/>
      <x:c r="F198" s="23"/>
      <x:c r="G198" s="23"/>
      <x:c r="H198" s="23"/>
      <x:c r="I198" s="23"/>
      <x:c r="J198" s="23"/>
    </x:row>
    <x:row r="199">
      <x:c r="A199" s="7"/>
      <x:c r="B199" s="7"/>
      <x:c r="C199" s="23"/>
      <x:c r="D199" s="23"/>
      <x:c r="E199" s="23"/>
      <x:c r="F199" s="23"/>
      <x:c r="G199" s="23"/>
      <x:c r="H199" s="23"/>
      <x:c r="I199" s="23"/>
      <x:c r="J199" s="23"/>
    </x:row>
    <x:row r="200">
      <x:c r="A200" s="7"/>
      <x:c r="B200" s="7"/>
      <x:c r="C200" s="23"/>
      <x:c r="D200" s="23"/>
      <x:c r="E200" s="23"/>
      <x:c r="F200" s="23"/>
      <x:c r="G200" s="23"/>
      <x:c r="H200" s="23"/>
      <x:c r="I200" s="23"/>
      <x:c r="J200" s="2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7" hidden="0" customWidth="1"/>
    <x:col min="4" max="4" width="37" hidden="0" customWidth="1"/>
    <x:col min="5" max="5" width="39" hidden="0" customWidth="1"/>
    <x:col min="6" max="6" width="19" hidden="0" customWidth="1"/>
    <x:col min="7" max="7" width="17" hidden="0" customWidth="1"/>
    <x:col min="8" max="8" width="28" hidden="0" customWidth="1"/>
    <x:col min="9" max="9" width="25" hidden="0" customWidth="1"/>
    <x:col min="10" max="10" width="24" hidden="0" customWidth="1"/>
    <x:col min="11" max="11" width="27" hidden="0" customWidth="1"/>
    <x:col min="12" max="12" width="23" hidden="0" customWidth="1"/>
    <x:col min="13" max="13" width="22" hidden="0" customWidth="1"/>
    <x:col min="14" max="14" width="56" hidden="0" customWidth="1"/>
    <x:col min="15" max="15" width="28" hidden="0" customWidth="1"/>
    <x:col min="16" max="16" width="78" hidden="0" customWidth="1"/>
  </x:cols>
  <x:sheetData>
    <x:row r="1" ht="25" customHeight="1">
      <x:c r="A1" s="7"/>
      <x:c r="B1" s="7"/>
      <x:c r="C1" s="4" t="str">
        <x:v>Observation-level evidence vectors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s="7"/>
      <x:c r="B2" s="7"/>
      <x:c r="C2" s="5" t="str">
        <x:v>Reported filing and issuer/regulator values, analyst calculations, evidence gaps and normalized scenario rows are separated. Dates are stored as distinct coordinates; source page/note locators remain explicitly marked when they were not captured.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>
      <x:c r="A4" s="7"/>
      <x:c r="B4" s="7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</x:row>
    <x:row r="5" ht="30" customHeight="1">
      <x:c r="A5" s="7"/>
      <x:c r="B5" s="7"/>
      <x:c r="C5" s="22" t="str">
        <x:v>Record ID</x:v>
      </x:c>
      <x:c r="D5" s="22" t="str">
        <x:v>Entity / perimeter</x:v>
      </x:c>
      <x:c r="E5" s="22" t="str">
        <x:v>Measure / claim</x:v>
      </x:c>
      <x:c r="F5" s="22" t="str">
        <x:v>Amount / value</x:v>
      </x:c>
      <x:c r="G5" s="22" t="str">
        <x:v>Currency / unit</x:v>
      </x:c>
      <x:c r="H5" s="22" t="str">
        <x:v>Observation period / FY</x:v>
      </x:c>
      <x:c r="I5" s="22" t="str">
        <x:v>Event / measurement date</x:v>
      </x:c>
      <x:c r="J5" s="22" t="str">
        <x:v>Source-record date</x:v>
      </x:c>
      <x:c r="K5" s="22" t="str">
        <x:v>Publication / filing date</x:v>
      </x:c>
      <x:c r="L5" s="22" t="str">
        <x:v>As-of / retrieval date</x:v>
      </x:c>
      <x:c r="M5" s="22" t="str">
        <x:v>Source ID</x:v>
      </x:c>
      <x:c r="N5" s="22" t="str">
        <x:v>Locator (sheet/cell; document section)</x:v>
      </x:c>
      <x:c r="O5" s="22" t="str">
        <x:v>Evidence state</x:v>
      </x:c>
      <x:c r="P5" s="22" t="str">
        <x:v>Basis and limits</x:v>
      </x:c>
    </x:row>
    <x:row r="6">
      <x:c r="A6" s="7"/>
      <x:c r="B6" s="7"/>
      <x:c r="C6" s="24" t="str">
        <x:v>P2-NVDA-01</x:v>
      </x:c>
      <x:c r="D6" s="40" t="str">
        <x:v>NVIDIA Corporation consolidated</x:v>
      </x:c>
      <x:c r="E6" s="40" t="str">
        <x:v>Net income</x:v>
      </x:c>
      <x:c r="F6" s="24" t="n">
        <x:v>120.067</x:v>
      </x:c>
      <x:c r="G6" s="24" t="str">
        <x:v>USD bn</x:v>
      </x:c>
      <x:c r="H6" s="40" t="str">
        <x:v>FY ended 25-Jan-2026</x:v>
      </x:c>
      <x:c r="I6" s="40" t="str">
        <x:v>25-Jan-2026 fiscal year-end</x:v>
      </x:c>
      <x:c r="J6" s="40" t="str">
        <x:v>Form 10-K filed 25-Feb-2026</x:v>
      </x:c>
      <x:c r="K6" s="40" t="str">
        <x:v>25-Feb-2026 SEC filing</x:v>
      </x:c>
      <x:c r="L6" s="40" t="str">
        <x:v>24-Sep-2026 (audit date; original source retrieval date not logged)</x:v>
      </x:c>
      <x:c r="M6" s="24" t="str">
        <x:v>NVDA-10K</x:v>
      </x:c>
      <x:c r="N6" s="40" t="str">
        <x:v>Filing Inputs!D6; Form 10-K cash-flow statement / balance sheet; page or note locator not transcribed</x:v>
      </x:c>
      <x:c r="O6" s="40" t="str">
        <x:v>Filed fact</x:v>
      </x:c>
      <x:c r="P6" s="40" t="str">
        <x:v>Reported</x:v>
      </x:c>
    </x:row>
    <x:row r="7">
      <x:c r="A7" s="7"/>
      <x:c r="B7" s="7"/>
      <x:c r="C7" s="25" t="str">
        <x:v>P2-NVDA-02</x:v>
      </x:c>
      <x:c r="D7" s="41" t="str">
        <x:v>NVIDIA Corporation consolidated</x:v>
      </x:c>
      <x:c r="E7" s="41" t="str">
        <x:v>Stock-based compensation</x:v>
      </x:c>
      <x:c r="F7" s="25" t="n">
        <x:v>6.386</x:v>
      </x:c>
      <x:c r="G7" s="25" t="str">
        <x:v>USD bn</x:v>
      </x:c>
      <x:c r="H7" s="41" t="str">
        <x:v>FY ended 25-Jan-2026</x:v>
      </x:c>
      <x:c r="I7" s="41" t="str">
        <x:v>25-Jan-2026 fiscal year-end</x:v>
      </x:c>
      <x:c r="J7" s="41" t="str">
        <x:v>Form 10-K filed 25-Feb-2026</x:v>
      </x:c>
      <x:c r="K7" s="41" t="str">
        <x:v>25-Feb-2026 SEC filing</x:v>
      </x:c>
      <x:c r="L7" s="41" t="str">
        <x:v>24-Sep-2026 (audit date; original source retrieval date not logged)</x:v>
      </x:c>
      <x:c r="M7" s="25" t="str">
        <x:v>NVDA-10K</x:v>
      </x:c>
      <x:c r="N7" s="41" t="str">
        <x:v>Filing Inputs!D7; Form 10-K cash-flow statement / balance sheet; page or note locator not transcribed</x:v>
      </x:c>
      <x:c r="O7" s="41" t="str">
        <x:v>Filed fact</x:v>
      </x:c>
      <x:c r="P7" s="41" t="str">
        <x:v>Reported noncash add-back in operating cash flow</x:v>
      </x:c>
    </x:row>
    <x:row r="8">
      <x:c r="A8" s="7"/>
      <x:c r="B8" s="7"/>
      <x:c r="C8" s="25" t="str">
        <x:v>P2-NVDA-03</x:v>
      </x:c>
      <x:c r="D8" s="41" t="str">
        <x:v>NVIDIA Corporation consolidated</x:v>
      </x:c>
      <x:c r="E8" s="41" t="str">
        <x:v>Depreciation and amortization</x:v>
      </x:c>
      <x:c r="F8" s="25" t="n">
        <x:v>2.843</x:v>
      </x:c>
      <x:c r="G8" s="25" t="str">
        <x:v>USD bn</x:v>
      </x:c>
      <x:c r="H8" s="41" t="str">
        <x:v>FY ended 25-Jan-2026</x:v>
      </x:c>
      <x:c r="I8" s="41" t="str">
        <x:v>25-Jan-2026 fiscal year-end</x:v>
      </x:c>
      <x:c r="J8" s="41" t="str">
        <x:v>Form 10-K filed 25-Feb-2026</x:v>
      </x:c>
      <x:c r="K8" s="41" t="str">
        <x:v>25-Feb-2026 SEC filing</x:v>
      </x:c>
      <x:c r="L8" s="41" t="str">
        <x:v>24-Sep-2026 (audit date; original source retrieval date not logged)</x:v>
      </x:c>
      <x:c r="M8" s="25" t="str">
        <x:v>NVDA-10K</x:v>
      </x:c>
      <x:c r="N8" s="41" t="str">
        <x:v>Filing Inputs!D8; Form 10-K cash-flow statement / balance sheet; page or note locator not transcribed</x:v>
      </x:c>
      <x:c r="O8" s="41" t="str">
        <x:v>Filed fact</x:v>
      </x:c>
      <x:c r="P8" s="41" t="str">
        <x:v>Reported</x:v>
      </x:c>
    </x:row>
    <x:row r="9">
      <x:c r="A9" s="7"/>
      <x:c r="B9" s="7"/>
      <x:c r="C9" s="25" t="str">
        <x:v>P2-NVDA-04</x:v>
      </x:c>
      <x:c r="D9" s="41" t="str">
        <x:v>NVIDIA Corporation consolidated</x:v>
      </x:c>
      <x:c r="E9" s="41" t="str">
        <x:v>Capital expenditures</x:v>
      </x:c>
      <x:c r="F9" s="25" t="n">
        <x:v>6.1</x:v>
      </x:c>
      <x:c r="G9" s="25" t="str">
        <x:v>USD bn</x:v>
      </x:c>
      <x:c r="H9" s="41" t="str">
        <x:v>FY ended 25-Jan-2026</x:v>
      </x:c>
      <x:c r="I9" s="41" t="str">
        <x:v>25-Jan-2026 fiscal year-end</x:v>
      </x:c>
      <x:c r="J9" s="41" t="str">
        <x:v>Form 10-K filed 25-Feb-2026</x:v>
      </x:c>
      <x:c r="K9" s="41" t="str">
        <x:v>25-Feb-2026 SEC filing</x:v>
      </x:c>
      <x:c r="L9" s="41" t="str">
        <x:v>24-Sep-2026 (audit date; original source retrieval date not logged)</x:v>
      </x:c>
      <x:c r="M9" s="25" t="str">
        <x:v>NVDA-10K</x:v>
      </x:c>
      <x:c r="N9" s="41" t="str">
        <x:v>Filing Inputs!D9; Form 10-K cash-flow statement / balance sheet; page or note locator not transcribed</x:v>
      </x:c>
      <x:c r="O9" s="41" t="str">
        <x:v>Filed fact</x:v>
      </x:c>
      <x:c r="P9" s="41" t="str">
        <x:v>Management MD&amp;A total rounded to one decimal; cash-flow statement separately reports purchases and principal payments; maintenance split not disclosed</x:v>
      </x:c>
    </x:row>
    <x:row r="10">
      <x:c r="A10" s="7"/>
      <x:c r="B10" s="7"/>
      <x:c r="C10" s="25" t="str">
        <x:v>P2-NVDA-05</x:v>
      </x:c>
      <x:c r="D10" s="41" t="str">
        <x:v>NVIDIA Corporation consolidated</x:v>
      </x:c>
      <x:c r="E10" s="41" t="str">
        <x:v>Accounts receivable cash use</x:v>
      </x:c>
      <x:c r="F10" s="25" t="n">
        <x:v>15.399</x:v>
      </x:c>
      <x:c r="G10" s="25" t="str">
        <x:v>USD bn</x:v>
      </x:c>
      <x:c r="H10" s="41" t="str">
        <x:v>FY ended 25-Jan-2026</x:v>
      </x:c>
      <x:c r="I10" s="41" t="str">
        <x:v>25-Jan-2026 fiscal year-end</x:v>
      </x:c>
      <x:c r="J10" s="41" t="str">
        <x:v>Form 10-K filed 25-Feb-2026</x:v>
      </x:c>
      <x:c r="K10" s="41" t="str">
        <x:v>25-Feb-2026 SEC filing</x:v>
      </x:c>
      <x:c r="L10" s="41" t="str">
        <x:v>24-Sep-2026 (audit date; original source retrieval date not logged)</x:v>
      </x:c>
      <x:c r="M10" s="25" t="str">
        <x:v>NVDA-10K</x:v>
      </x:c>
      <x:c r="N10" s="41" t="str">
        <x:v>Filing Inputs!D10; Form 10-K cash-flow statement / balance sheet; page or note locator not transcribed</x:v>
      </x:c>
      <x:c r="O10" s="41" t="str">
        <x:v>Filed fact</x:v>
      </x:c>
      <x:c r="P10" s="41" t="str">
        <x:v>Reported cash-flow use, net of acquisitions</x:v>
      </x:c>
    </x:row>
    <x:row r="11">
      <x:c r="A11" s="7"/>
      <x:c r="B11" s="7"/>
      <x:c r="C11" s="25" t="str">
        <x:v>P2-NVDA-06</x:v>
      </x:c>
      <x:c r="D11" s="41" t="str">
        <x:v>NVIDIA Corporation consolidated</x:v>
      </x:c>
      <x:c r="E11" s="41" t="str">
        <x:v>Inventory cash use</x:v>
      </x:c>
      <x:c r="F11" s="25" t="n">
        <x:v>11.324</x:v>
      </x:c>
      <x:c r="G11" s="25" t="str">
        <x:v>USD bn</x:v>
      </x:c>
      <x:c r="H11" s="41" t="str">
        <x:v>FY ended 25-Jan-2026</x:v>
      </x:c>
      <x:c r="I11" s="41" t="str">
        <x:v>25-Jan-2026 fiscal year-end</x:v>
      </x:c>
      <x:c r="J11" s="41" t="str">
        <x:v>Form 10-K filed 25-Feb-2026</x:v>
      </x:c>
      <x:c r="K11" s="41" t="str">
        <x:v>25-Feb-2026 SEC filing</x:v>
      </x:c>
      <x:c r="L11" s="41" t="str">
        <x:v>24-Sep-2026 (audit date; original source retrieval date not logged)</x:v>
      </x:c>
      <x:c r="M11" s="25" t="str">
        <x:v>NVDA-10K</x:v>
      </x:c>
      <x:c r="N11" s="41" t="str">
        <x:v>Filing Inputs!D11; Form 10-K cash-flow statement / balance sheet; page or note locator not transcribed</x:v>
      </x:c>
      <x:c r="O11" s="41" t="str">
        <x:v>Filed fact</x:v>
      </x:c>
      <x:c r="P11" s="41" t="str">
        <x:v>Reported cash-flow use, net of acquisitions</x:v>
      </x:c>
    </x:row>
    <x:row r="12">
      <x:c r="A12" s="7"/>
      <x:c r="B12" s="7"/>
      <x:c r="C12" s="25" t="str">
        <x:v>P2-NVDA-07</x:v>
      </x:c>
      <x:c r="D12" s="41" t="str">
        <x:v>NVIDIA Corporation consolidated</x:v>
      </x:c>
      <x:c r="E12" s="41" t="str">
        <x:v>AR plus inventory gross uses</x:v>
      </x:c>
      <x:c r="F12" s="25" t="n">
        <x:v>26.723</x:v>
      </x:c>
      <x:c r="G12" s="25" t="str">
        <x:v>USD bn</x:v>
      </x:c>
      <x:c r="H12" s="41" t="str">
        <x:v>FY ended 25-Jan-2026</x:v>
      </x:c>
      <x:c r="I12" s="41" t="str">
        <x:v>25-Jan-2026 fiscal year-end</x:v>
      </x:c>
      <x:c r="J12" s="41" t="str">
        <x:v>Form 10-K filed 25-Feb-2026</x:v>
      </x:c>
      <x:c r="K12" s="41" t="str">
        <x:v>25-Feb-2026 SEC filing</x:v>
      </x:c>
      <x:c r="L12" s="41" t="str">
        <x:v>24-Sep-2026 (audit date; original source retrieval date not logged)</x:v>
      </x:c>
      <x:c r="M12" s="25" t="str">
        <x:v>CALC-NVDA</x:v>
      </x:c>
      <x:c r="N12" s="41" t="str">
        <x:v>Filing Inputs!D12; Form 10-K cash-flow statement / balance sheet; page or note locator not transcribed</x:v>
      </x:c>
      <x:c r="O12" s="41" t="str">
        <x:v>Calculated from filed rows</x:v>
      </x:c>
      <x:c r="P12" s="41" t="str">
        <x:v>AR cash use 15.399 + inventory cash use 11.324 = 26.723 USD bn; gross uses only, not net working capital.</x:v>
      </x:c>
    </x:row>
    <x:row r="13">
      <x:c r="A13" s="7"/>
      <x:c r="B13" s="7"/>
      <x:c r="C13" s="25" t="str">
        <x:v>P2-NVDA-08</x:v>
      </x:c>
      <x:c r="D13" s="41" t="str">
        <x:v>NVIDIA Corporation consolidated</x:v>
      </x:c>
      <x:c r="E13" s="41" t="str">
        <x:v>Purchase / capacity obligations</x:v>
      </x:c>
      <x:c r="F13" s="25" t="n">
        <x:v>95.2</x:v>
      </x:c>
      <x:c r="G13" s="25" t="str">
        <x:v>USD bn</x:v>
      </x:c>
      <x:c r="H13" s="41" t="str">
        <x:v>FY ended 25-Jan-2026</x:v>
      </x:c>
      <x:c r="I13" s="41" t="str">
        <x:v>25-Jan-2026 fiscal year-end</x:v>
      </x:c>
      <x:c r="J13" s="41" t="str">
        <x:v>Form 10-K filed 25-Feb-2026</x:v>
      </x:c>
      <x:c r="K13" s="41" t="str">
        <x:v>25-Feb-2026 SEC filing</x:v>
      </x:c>
      <x:c r="L13" s="41" t="str">
        <x:v>24-Sep-2026 (audit date; original source retrieval date not logged)</x:v>
      </x:c>
      <x:c r="M13" s="25" t="str">
        <x:v>NVDA-10K</x:v>
      </x:c>
      <x:c r="N13" s="41" t="str">
        <x:v>Filing Inputs!D13; Form 10-K cash-flow statement / balance sheet; page or note locator not transcribed</x:v>
      </x:c>
      <x:c r="O13" s="41" t="str">
        <x:v>Filed fact</x:v>
      </x:c>
      <x:c r="P13" s="41" t="str">
        <x:v>Disclosed outstanding obligation; timing/terms vary</x:v>
      </x:c>
    </x:row>
    <x:row r="14">
      <x:c r="A14" s="7"/>
      <x:c r="B14" s="7"/>
      <x:c r="C14" s="25" t="str">
        <x:v>P2-NVDA-09</x:v>
      </x:c>
      <x:c r="D14" s="41" t="str">
        <x:v>NVIDIA Corporation consolidated</x:v>
      </x:c>
      <x:c r="E14" s="41" t="str">
        <x:v>Accounts receivable, closing balance</x:v>
      </x:c>
      <x:c r="F14" s="25" t="n">
        <x:v>38.466</x:v>
      </x:c>
      <x:c r="G14" s="25" t="str">
        <x:v>USD bn</x:v>
      </x:c>
      <x:c r="H14" s="41" t="str">
        <x:v>FY ended 25-Jan-2026</x:v>
      </x:c>
      <x:c r="I14" s="41" t="str">
        <x:v>25-Jan-2026 fiscal year-end</x:v>
      </x:c>
      <x:c r="J14" s="41" t="str">
        <x:v>Form 10-K filed 25-Feb-2026</x:v>
      </x:c>
      <x:c r="K14" s="41" t="str">
        <x:v>25-Feb-2026 SEC filing</x:v>
      </x:c>
      <x:c r="L14" s="41" t="str">
        <x:v>24-Sep-2026 (audit date; original source retrieval date not logged)</x:v>
      </x:c>
      <x:c r="M14" s="25" t="str">
        <x:v>NVDA-10K</x:v>
      </x:c>
      <x:c r="N14" s="41" t="str">
        <x:v>Filing Inputs!D14; Form 10-K cash-flow statement / balance sheet; page or note locator not transcribed</x:v>
      </x:c>
      <x:c r="O14" s="41" t="str">
        <x:v>Filed fact</x:v>
      </x:c>
      <x:c r="P14" s="41" t="str">
        <x:v>Reported balance at year end</x:v>
      </x:c>
    </x:row>
    <x:row r="15">
      <x:c r="A15" s="7"/>
      <x:c r="B15" s="7"/>
      <x:c r="C15" s="25" t="str">
        <x:v>P2-NVDA-10</x:v>
      </x:c>
      <x:c r="D15" s="41" t="str">
        <x:v>NVIDIA Corporation consolidated</x:v>
      </x:c>
      <x:c r="E15" s="41" t="str">
        <x:v>Inventory, closing balance</x:v>
      </x:c>
      <x:c r="F15" s="25" t="n">
        <x:v>21.403</x:v>
      </x:c>
      <x:c r="G15" s="25" t="str">
        <x:v>USD bn</x:v>
      </x:c>
      <x:c r="H15" s="41" t="str">
        <x:v>FY ended 25-Jan-2026</x:v>
      </x:c>
      <x:c r="I15" s="41" t="str">
        <x:v>25-Jan-2026 fiscal year-end</x:v>
      </x:c>
      <x:c r="J15" s="41" t="str">
        <x:v>Form 10-K filed 25-Feb-2026</x:v>
      </x:c>
      <x:c r="K15" s="41" t="str">
        <x:v>25-Feb-2026 SEC filing</x:v>
      </x:c>
      <x:c r="L15" s="41" t="str">
        <x:v>24-Sep-2026 (audit date; original source retrieval date not logged)</x:v>
      </x:c>
      <x:c r="M15" s="25" t="str">
        <x:v>NVDA-10K</x:v>
      </x:c>
      <x:c r="N15" s="41" t="str">
        <x:v>Filing Inputs!D15; Form 10-K cash-flow statement / balance sheet; page or note locator not transcribed</x:v>
      </x:c>
      <x:c r="O15" s="41" t="str">
        <x:v>Filed fact</x:v>
      </x:c>
      <x:c r="P15" s="41" t="str">
        <x:v>Reported balance at year end</x:v>
      </x:c>
    </x:row>
    <x:row r="16">
      <x:c r="A16" s="7"/>
      <x:c r="B16" s="7"/>
      <x:c r="C16" s="25" t="str">
        <x:v>P2-NVDA-CAPEX-RECON</x:v>
      </x:c>
      <x:c r="D16" s="41" t="str">
        <x:v>NVIDIA Corporation consolidated</x:v>
      </x:c>
      <x:c r="E16" s="41" t="str">
        <x:v>Cash-flow purchases related to property/equipment and intangible assets plus principal payments</x:v>
      </x:c>
      <x:c r="F16" s="25" t="n">
        <x:v>6.143</x:v>
      </x:c>
      <x:c r="G16" s="25" t="str">
        <x:v>USD bn</x:v>
      </x:c>
      <x:c r="H16" s="41" t="str">
        <x:v>FY ended 25-Jan-2026</x:v>
      </x:c>
      <x:c r="I16" s="41" t="str">
        <x:v>Cash-flow period ended 25-Jan-2026</x:v>
      </x:c>
      <x:c r="J16" s="41" t="str">
        <x:v>Form 10-K filed 25-Feb-2026</x:v>
      </x:c>
      <x:c r="K16" s="41" t="str">
        <x:v>25-Feb-2026 SEC filing</x:v>
      </x:c>
      <x:c r="L16" s="41" t="str">
        <x:v>24-Sep-2026 (audit date; original source retrieval date not logged)</x:v>
      </x:c>
      <x:c r="M16" s="25" t="str">
        <x:v>NVDA-10K</x:v>
      </x:c>
      <x:c r="N16" s="41" t="str">
        <x:v>Form 10-K printed p.55; SEC HTML lines 1830 and 1839; compare MD&amp;A lines 1416 and Filing Inputs!D9</x:v>
      </x:c>
      <x:c r="O16" s="41" t="str">
        <x:v>Calculated cross-statement reconciliation</x:v>
      </x:c>
      <x:c r="P16" s="41" t="str">
        <x:v>USD 6.042bn investing cash-flow purchases + USD 0.101bn financing principal payments = USD 6.143bn; rounds to management's USD 6.1bn at one decimal. Preserve separate statement classifications; this does not establish maintenance versus growth capex or identical management definition.</x:v>
      </x:c>
    </x:row>
    <x:row r="17">
      <x:c r="A17" s="7"/>
      <x:c r="B17" s="7"/>
      <x:c r="C17" s="25" t="str">
        <x:v>P2-EQX-01</x:v>
      </x:c>
      <x:c r="D17" s="41" t="str">
        <x:v>Equinix, Inc. consolidated</x:v>
      </x:c>
      <x:c r="E17" s="41" t="str">
        <x:v>Property, plant and equipment</x:v>
      </x:c>
      <x:c r="F17" s="25" t="n">
        <x:v>23.6</x:v>
      </x:c>
      <x:c r="G17" s="25" t="str">
        <x:v>USD bn</x:v>
      </x:c>
      <x:c r="H17" s="41" t="str">
        <x:v>FY ended 31-Dec-2025</x:v>
      </x:c>
      <x:c r="I17" s="41" t="str">
        <x:v>31-Dec-2025 fiscal year-end</x:v>
      </x:c>
      <x:c r="J17" s="41" t="str">
        <x:v>Form 10-K filed 11-Feb-2026</x:v>
      </x:c>
      <x:c r="K17" s="41" t="str">
        <x:v>11-Feb-2026 SEC filing</x:v>
      </x:c>
      <x:c r="L17" s="41" t="str">
        <x:v>24-Sep-2026 (audit date; original source retrieval date not logged)</x:v>
      </x:c>
      <x:c r="M17" s="25" t="str">
        <x:v>EQX-10K</x:v>
      </x:c>
      <x:c r="N17" s="41" t="str">
        <x:v>Asset Heavy!D6; Form 10-K property, depreciation and capex disclosures; page/note not captured</x:v>
      </x:c>
      <x:c r="O17" s="41" t="str">
        <x:v>Filed fact</x:v>
      </x:c>
      <x:c r="P17" s="41" t="str">
        <x:v>Year-end/reporting measure; not an owner-earnings estimate.</x:v>
      </x:c>
    </x:row>
    <x:row r="18">
      <x:c r="A18" s="7"/>
      <x:c r="B18" s="7"/>
      <x:c r="C18" s="25" t="str">
        <x:v>P2-EQX-02</x:v>
      </x:c>
      <x:c r="D18" s="41" t="str">
        <x:v>Equinix, Inc. consolidated</x:v>
      </x:c>
      <x:c r="E18" s="41" t="str">
        <x:v>Depreciation expense</x:v>
      </x:c>
      <x:c r="F18" s="25" t="n">
        <x:v>1.9</x:v>
      </x:c>
      <x:c r="G18" s="25" t="str">
        <x:v>USD bn</x:v>
      </x:c>
      <x:c r="H18" s="41" t="str">
        <x:v>FY ended 31-Dec-2025</x:v>
      </x:c>
      <x:c r="I18" s="41" t="str">
        <x:v>31-Dec-2025 fiscal year-end</x:v>
      </x:c>
      <x:c r="J18" s="41" t="str">
        <x:v>Form 10-K filed 11-Feb-2026</x:v>
      </x:c>
      <x:c r="K18" s="41" t="str">
        <x:v>11-Feb-2026 SEC filing</x:v>
      </x:c>
      <x:c r="L18" s="41" t="str">
        <x:v>24-Sep-2026 (audit date; original source retrieval date not logged)</x:v>
      </x:c>
      <x:c r="M18" s="25" t="str">
        <x:v>EQX-10K</x:v>
      </x:c>
      <x:c r="N18" s="41" t="str">
        <x:v>Asset Heavy!D7; Form 10-K property, depreciation and capex disclosures; page/note not captured</x:v>
      </x:c>
      <x:c r="O18" s="41" t="str">
        <x:v>Filed fact</x:v>
      </x:c>
      <x:c r="P18" s="41" t="str">
        <x:v>Year-end/reporting measure; not an owner-earnings estimate.</x:v>
      </x:c>
    </x:row>
    <x:row r="19">
      <x:c r="A19" s="7"/>
      <x:c r="B19" s="7"/>
      <x:c r="C19" s="25" t="str">
        <x:v>P2-EQX-03</x:v>
      </x:c>
      <x:c r="D19" s="41" t="str">
        <x:v>Equinix, Inc. consolidated</x:v>
      </x:c>
      <x:c r="E19" s="41" t="str">
        <x:v>Issuer-defined recurring capex</x:v>
      </x:c>
      <x:c r="F19" s="25" t="n">
        <x:v>0.284</x:v>
      </x:c>
      <x:c r="G19" s="25" t="str">
        <x:v>USD bn</x:v>
      </x:c>
      <x:c r="H19" s="41" t="str">
        <x:v>FY ended 31-Dec-2025</x:v>
      </x:c>
      <x:c r="I19" s="41" t="str">
        <x:v>31-Dec-2025 fiscal year-end</x:v>
      </x:c>
      <x:c r="J19" s="41" t="str">
        <x:v>Form 10-K filed 11-Feb-2026</x:v>
      </x:c>
      <x:c r="K19" s="41" t="str">
        <x:v>11-Feb-2026 SEC filing</x:v>
      </x:c>
      <x:c r="L19" s="41" t="str">
        <x:v>24-Sep-2026 (audit date; original source retrieval date not logged)</x:v>
      </x:c>
      <x:c r="M19" s="25" t="str">
        <x:v>EQX-10K</x:v>
      </x:c>
      <x:c r="N19" s="41" t="str">
        <x:v>Asset Heavy!D8; Form 10-K property, depreciation and capex disclosures; page/note not captured</x:v>
      </x:c>
      <x:c r="O19" s="41" t="str">
        <x:v>Filed fact</x:v>
      </x:c>
      <x:c r="P19" s="41" t="str">
        <x:v>Issuer-defined recurring capex; not a full maintenance estimate.</x:v>
      </x:c>
    </x:row>
    <x:row r="20">
      <x:c r="A20" s="7"/>
      <x:c r="B20" s="7"/>
      <x:c r="C20" s="25" t="str">
        <x:v>P2-NSE-01-1</x:v>
      </x:c>
      <x:c r="D20" s="41" t="str">
        <x:v>Equity Group Holdings PLC consolidated</x:v>
      </x:c>
      <x:c r="E20" s="41" t="str">
        <x:v>Profit after tax</x:v>
      </x:c>
      <x:c r="F20" s="25" t="n">
        <x:v>75.5</x:v>
      </x:c>
      <x:c r="G20" s="25" t="str">
        <x:v>KES bn</x:v>
      </x:c>
      <x:c r="H20" s="41" t="str">
        <x:v>FY2025</x:v>
      </x:c>
      <x:c r="I20" s="41" t="str">
        <x:v>31-Dec-2025 fiscal year-end</x:v>
      </x:c>
      <x:c r="J20" s="41" t="str">
        <x:v>18-Mar-2026 results release</x:v>
      </x:c>
      <x:c r="K20" s="41" t="str">
        <x:v>18-Mar-2026</x:v>
      </x:c>
      <x:c r="L20" s="41" t="str">
        <x:v>24-Sep-2026 (audit date; original source retrieval date not logged)</x:v>
      </x:c>
      <x:c r="M20" s="25" t="str">
        <x:v>EQUITY-25</x:v>
      </x:c>
      <x:c r="N20" s="41" t="str">
        <x:v>NSE Casebook!F6; cited issuer/regulator record; document page/section not encoded in source register</x:v>
      </x:c>
      <x:c r="O20" s="41" t="str">
        <x:v>Reported issuer/regulator value</x:v>
      </x:c>
      <x:c r="P20" s="41" t="str">
        <x:v>Preserve this issuer's reporting perimeter and period; amount is not normalized owner earnings or distributable cash.</x:v>
      </x:c>
    </x:row>
    <x:row r="21">
      <x:c r="A21" s="7"/>
      <x:c r="B21" s="7"/>
      <x:c r="C21" s="25" t="str">
        <x:v>P2-NSE-01-2</x:v>
      </x:c>
      <x:c r="D21" s="41" t="str">
        <x:v>Equity Group Holdings PLC consolidated</x:v>
      </x:c>
      <x:c r="E21" s="41" t="str">
        <x:v>Net loans</x:v>
      </x:c>
      <x:c r="F21" s="25" t="n">
        <x:v>882.5</x:v>
      </x:c>
      <x:c r="G21" s="25" t="str">
        <x:v>KES bn</x:v>
      </x:c>
      <x:c r="H21" s="41" t="str">
        <x:v>FY2025</x:v>
      </x:c>
      <x:c r="I21" s="41" t="str">
        <x:v>31-Dec-2025 fiscal year-end</x:v>
      </x:c>
      <x:c r="J21" s="41" t="str">
        <x:v>18-Mar-2026 results release</x:v>
      </x:c>
      <x:c r="K21" s="41" t="str">
        <x:v>18-Mar-2026</x:v>
      </x:c>
      <x:c r="L21" s="41" t="str">
        <x:v>24-Sep-2026 (audit date; original source retrieval date not logged)</x:v>
      </x:c>
      <x:c r="M21" s="25" t="str">
        <x:v>EQUITY-25</x:v>
      </x:c>
      <x:c r="N21" s="41" t="str">
        <x:v>NSE Casebook!H6; cited issuer/regulator record; document page/section not encoded in source register</x:v>
      </x:c>
      <x:c r="O21" s="41" t="str">
        <x:v>Reported issuer/regulator value</x:v>
      </x:c>
      <x:c r="P21" s="41" t="str">
        <x:v>Preserve this issuer's reporting perimeter and period; amount is not normalized owner earnings or distributable cash.</x:v>
      </x:c>
    </x:row>
    <x:row r="22">
      <x:c r="A22" s="7"/>
      <x:c r="B22" s="7"/>
      <x:c r="C22" s="25" t="str">
        <x:v>P2-NSE-01-3</x:v>
      </x:c>
      <x:c r="D22" s="41" t="str">
        <x:v>Equity Group Holdings PLC consolidated</x:v>
      </x:c>
      <x:c r="E22" s="41" t="str">
        <x:v>Proposed dividend</x:v>
      </x:c>
      <x:c r="F22" s="25" t="n">
        <x:v>21.7</x:v>
      </x:c>
      <x:c r="G22" s="25" t="str">
        <x:v>KES bn</x:v>
      </x:c>
      <x:c r="H22" s="41" t="str">
        <x:v>FY2025</x:v>
      </x:c>
      <x:c r="I22" s="41" t="str">
        <x:v>31-Dec-2025 fiscal year-end</x:v>
      </x:c>
      <x:c r="J22" s="41" t="str">
        <x:v>18-Mar-2026 results release</x:v>
      </x:c>
      <x:c r="K22" s="41" t="str">
        <x:v>18-Mar-2026</x:v>
      </x:c>
      <x:c r="L22" s="41" t="str">
        <x:v>24-Sep-2026 (audit date; original source retrieval date not logged)</x:v>
      </x:c>
      <x:c r="M22" s="25" t="str">
        <x:v>EQUITY-25</x:v>
      </x:c>
      <x:c r="N22" s="41" t="str">
        <x:v>NSE Casebook!J6; cited issuer/regulator record; document page/section not encoded in source register</x:v>
      </x:c>
      <x:c r="O22" s="41" t="str">
        <x:v>Reported issuer/regulator value</x:v>
      </x:c>
      <x:c r="P22" s="41" t="str">
        <x:v>Preserve this issuer's reporting perimeter and period; amount is not normalized owner earnings or distributable cash.</x:v>
      </x:c>
    </x:row>
    <x:row r="23">
      <x:c r="A23" s="7"/>
      <x:c r="B23" s="7"/>
      <x:c r="C23" s="25" t="str">
        <x:v>P2-NSE-02-1</x:v>
      </x:c>
      <x:c r="D23" s="41" t="str">
        <x:v>Jubilee Holdings Limited group</x:v>
      </x:c>
      <x:c r="E23" s="41" t="str">
        <x:v>Net profit</x:v>
      </x:c>
      <x:c r="F23" s="25" t="n">
        <x:v>5.6</x:v>
      </x:c>
      <x:c r="G23" s="25" t="str">
        <x:v>KES bn</x:v>
      </x:c>
      <x:c r="H23" s="41" t="str">
        <x:v>FY2025</x:v>
      </x:c>
      <x:c r="I23" s="41" t="str">
        <x:v>31-Dec-2025 fiscal year-end</x:v>
      </x:c>
      <x:c r="J23" s="41" t="str">
        <x:v>09-Apr-2026 FY results release</x:v>
      </x:c>
      <x:c r="K23" s="41" t="str">
        <x:v>09-Apr-2026</x:v>
      </x:c>
      <x:c r="L23" s="41" t="str">
        <x:v>24-Sep-2026 (audit date; original source retrieval date not logged)</x:v>
      </x:c>
      <x:c r="M23" s="25" t="str">
        <x:v>JUB-2025</x:v>
      </x:c>
      <x:c r="N23" s="41" t="str">
        <x:v>NSE Casebook!F7; cited issuer/regulator record; document page/section not encoded in source register</x:v>
      </x:c>
      <x:c r="O23" s="41" t="str">
        <x:v>Reported issuer/regulator value</x:v>
      </x:c>
      <x:c r="P23" s="41" t="str">
        <x:v>Preserve this issuer's reporting perimeter and period; amount is not normalized owner earnings or distributable cash.</x:v>
      </x:c>
    </x:row>
    <x:row r="24">
      <x:c r="A24" s="7"/>
      <x:c r="B24" s="7"/>
      <x:c r="C24" s="25" t="str">
        <x:v>P2-NSE-02-2</x:v>
      </x:c>
      <x:c r="D24" s="41" t="str">
        <x:v>Jubilee Holdings Limited group</x:v>
      </x:c>
      <x:c r="E24" s="41" t="str">
        <x:v>Profit before tax</x:v>
      </x:c>
      <x:c r="F24" s="25" t="n">
        <x:v>7.2</x:v>
      </x:c>
      <x:c r="G24" s="25" t="str">
        <x:v>KES bn</x:v>
      </x:c>
      <x:c r="H24" s="41" t="str">
        <x:v>FY2025</x:v>
      </x:c>
      <x:c r="I24" s="41" t="str">
        <x:v>31-Dec-2025 fiscal year-end</x:v>
      </x:c>
      <x:c r="J24" s="41" t="str">
        <x:v>09-Apr-2026 FY results release</x:v>
      </x:c>
      <x:c r="K24" s="41" t="str">
        <x:v>09-Apr-2026</x:v>
      </x:c>
      <x:c r="L24" s="41" t="str">
        <x:v>24-Sep-2026 (audit date; original source retrieval date not logged)</x:v>
      </x:c>
      <x:c r="M24" s="25" t="str">
        <x:v>JUB-2025</x:v>
      </x:c>
      <x:c r="N24" s="41" t="str">
        <x:v>NSE Casebook!H7; cited issuer/regulator record; document page/section not encoded in source register</x:v>
      </x:c>
      <x:c r="O24" s="41" t="str">
        <x:v>Reported issuer/regulator value</x:v>
      </x:c>
      <x:c r="P24" s="41" t="str">
        <x:v>Preserve this issuer's reporting perimeter and period; amount is not normalized owner earnings or distributable cash.</x:v>
      </x:c>
    </x:row>
    <x:row r="25">
      <x:c r="A25" s="7"/>
      <x:c r="B25" s="7"/>
      <x:c r="C25" s="25" t="str">
        <x:v>P2-NSE-02-3</x:v>
      </x:c>
      <x:c r="D25" s="41" t="str">
        <x:v>Jubilee Holdings Limited group</x:v>
      </x:c>
      <x:c r="E25" s="41" t="str">
        <x:v>Premiums + contributions</x:v>
      </x:c>
      <x:c r="F25" s="25" t="n">
        <x:v>62.4</x:v>
      </x:c>
      <x:c r="G25" s="25" t="str">
        <x:v>KES bn</x:v>
      </x:c>
      <x:c r="H25" s="41" t="str">
        <x:v>FY2025</x:v>
      </x:c>
      <x:c r="I25" s="41" t="str">
        <x:v>31-Dec-2025 fiscal year-end</x:v>
      </x:c>
      <x:c r="J25" s="41" t="str">
        <x:v>09-Apr-2026 FY results release</x:v>
      </x:c>
      <x:c r="K25" s="41" t="str">
        <x:v>09-Apr-2026</x:v>
      </x:c>
      <x:c r="L25" s="41" t="str">
        <x:v>24-Sep-2026 (audit date; original source retrieval date not logged)</x:v>
      </x:c>
      <x:c r="M25" s="25" t="str">
        <x:v>JUB-2025</x:v>
      </x:c>
      <x:c r="N25" s="41" t="str">
        <x:v>NSE Casebook!J7; cited issuer/regulator record; document page/section not encoded in source register</x:v>
      </x:c>
      <x:c r="O25" s="41" t="str">
        <x:v>Reported issuer/regulator value</x:v>
      </x:c>
      <x:c r="P25" s="41" t="str">
        <x:v>Preserve this issuer's reporting perimeter and period; amount is not normalized owner earnings or distributable cash.</x:v>
      </x:c>
    </x:row>
    <x:row r="26">
      <x:c r="A26" s="7"/>
      <x:c r="B26" s="7"/>
      <x:c r="C26" s="25" t="str">
        <x:v>P2-NSE-03-1</x:v>
      </x:c>
      <x:c r="D26" s="41" t="str">
        <x:v>Kenya Electricity Generating Company PLC consolidated</x:v>
      </x:c>
      <x:c r="E26" s="41" t="str">
        <x:v>Profit after tax</x:v>
      </x:c>
      <x:c r="F26" s="25" t="n">
        <x:v>10.481</x:v>
      </x:c>
      <x:c r="G26" s="25" t="str">
        <x:v>KES bn</x:v>
      </x:c>
      <x:c r="H26" s="41" t="str">
        <x:v>FY2025</x:v>
      </x:c>
      <x:c r="I26" s="41" t="str">
        <x:v>30-Jun-2025 fiscal year-end</x:v>
      </x:c>
      <x:c r="J26" s="41" t="str">
        <x:v>Report approved 10-Nov-2025</x:v>
      </x:c>
      <x:c r="K26" s="41" t="str">
        <x:v>28-Nov-2025 web listing</x:v>
      </x:c>
      <x:c r="L26" s="41" t="str">
        <x:v>24-Sep-2026 (audit date; original source retrieval date not logged)</x:v>
      </x:c>
      <x:c r="M26" s="25" t="str">
        <x:v>KENGEN-25</x:v>
      </x:c>
      <x:c r="N26" s="41" t="str">
        <x:v>NSE Casebook!F8; cited issuer/regulator record; document page/section not encoded in source register</x:v>
      </x:c>
      <x:c r="O26" s="41" t="str">
        <x:v>Reported issuer/regulator value</x:v>
      </x:c>
      <x:c r="P26" s="41" t="str">
        <x:v>Preserve this issuer's reporting perimeter and period; amount is not normalized owner earnings or distributable cash.</x:v>
      </x:c>
    </x:row>
    <x:row r="27">
      <x:c r="A27" s="7"/>
      <x:c r="B27" s="7"/>
      <x:c r="C27" s="25" t="str">
        <x:v>P2-NSE-03-2</x:v>
      </x:c>
      <x:c r="D27" s="41" t="str">
        <x:v>Kenya Electricity Generating Company PLC consolidated</x:v>
      </x:c>
      <x:c r="E27" s="41" t="str">
        <x:v>Capital investment</x:v>
      </x:c>
      <x:c r="F27" s="25" t="n">
        <x:v>17.733</x:v>
      </x:c>
      <x:c r="G27" s="25" t="str">
        <x:v>KES bn</x:v>
      </x:c>
      <x:c r="H27" s="41" t="str">
        <x:v>FY2025</x:v>
      </x:c>
      <x:c r="I27" s="41" t="str">
        <x:v>30-Jun-2025 fiscal year-end</x:v>
      </x:c>
      <x:c r="J27" s="41" t="str">
        <x:v>Report approved 10-Nov-2025</x:v>
      </x:c>
      <x:c r="K27" s="41" t="str">
        <x:v>28-Nov-2025 web listing</x:v>
      </x:c>
      <x:c r="L27" s="41" t="str">
        <x:v>24-Sep-2026 (audit date; original source retrieval date not logged)</x:v>
      </x:c>
      <x:c r="M27" s="25" t="str">
        <x:v>KENGEN-25</x:v>
      </x:c>
      <x:c r="N27" s="41" t="str">
        <x:v>NSE Casebook!H8; cited issuer/regulator record; document page/section not encoded in source register</x:v>
      </x:c>
      <x:c r="O27" s="41" t="str">
        <x:v>Reported issuer/regulator value</x:v>
      </x:c>
      <x:c r="P27" s="41" t="str">
        <x:v>Preserve this issuer's reporting perimeter and period; amount is not normalized owner earnings or distributable cash.</x:v>
      </x:c>
    </x:row>
    <x:row r="28">
      <x:c r="A28" s="7"/>
      <x:c r="B28" s="7"/>
      <x:c r="C28" s="25" t="str">
        <x:v>P2-NSE-03-3</x:v>
      </x:c>
      <x:c r="D28" s="41" t="str">
        <x:v>Kenya Electricity Generating Company PLC consolidated</x:v>
      </x:c>
      <x:c r="E28" s="41" t="str">
        <x:v>Cash and equivalents</x:v>
      </x:c>
      <x:c r="F28" s="25" t="n">
        <x:v>30.124</x:v>
      </x:c>
      <x:c r="G28" s="25" t="str">
        <x:v>KES bn</x:v>
      </x:c>
      <x:c r="H28" s="41" t="str">
        <x:v>FY2025</x:v>
      </x:c>
      <x:c r="I28" s="41" t="str">
        <x:v>30-Jun-2025 fiscal year-end</x:v>
      </x:c>
      <x:c r="J28" s="41" t="str">
        <x:v>Report approved 10-Nov-2025</x:v>
      </x:c>
      <x:c r="K28" s="41" t="str">
        <x:v>28-Nov-2025 web listing</x:v>
      </x:c>
      <x:c r="L28" s="41" t="str">
        <x:v>24-Sep-2026 (audit date; original source retrieval date not logged)</x:v>
      </x:c>
      <x:c r="M28" s="25" t="str">
        <x:v>KENGEN-25</x:v>
      </x:c>
      <x:c r="N28" s="41" t="str">
        <x:v>NSE Casebook!J8; cited issuer/regulator record; document page/section not encoded in source register</x:v>
      </x:c>
      <x:c r="O28" s="41" t="str">
        <x:v>Reported issuer/regulator value</x:v>
      </x:c>
      <x:c r="P28" s="41" t="str">
        <x:v>Preserve this issuer's reporting perimeter and period; amount is not normalized owner earnings or distributable cash.</x:v>
      </x:c>
    </x:row>
    <x:row r="29">
      <x:c r="A29" s="7"/>
      <x:c r="B29" s="7"/>
      <x:c r="C29" s="25" t="str">
        <x:v>P2-NSE-04-1</x:v>
      </x:c>
      <x:c r="D29" s="41" t="str">
        <x:v>Kakuzi PLC consolidated</x:v>
      </x:c>
      <x:c r="E29" s="41" t="str">
        <x:v>Revenue</x:v>
      </x:c>
      <x:c r="F29" s="25" t="n">
        <x:v>5.368622</x:v>
      </x:c>
      <x:c r="G29" s="25" t="str">
        <x:v>KES bn</x:v>
      </x:c>
      <x:c r="H29" s="41" t="str">
        <x:v>FY2025</x:v>
      </x:c>
      <x:c r="I29" s="41" t="str">
        <x:v>31-Dec-2025 fiscal year-end</x:v>
      </x:c>
      <x:c r="J29" s="41" t="str">
        <x:v>2025 report listing 24-Mar-2026</x:v>
      </x:c>
      <x:c r="K29" s="41" t="str">
        <x:v>24-Mar-2026 listing; results release 25-Mar-2026</x:v>
      </x:c>
      <x:c r="L29" s="41" t="str">
        <x:v>24-Sep-2026 (audit date; original source retrieval date not logged)</x:v>
      </x:c>
      <x:c r="M29" s="25" t="str">
        <x:v>KAKUZI-25</x:v>
      </x:c>
      <x:c r="N29" s="41" t="str">
        <x:v>NSE Casebook!F9; cited issuer/regulator record; document page/section not encoded in source register</x:v>
      </x:c>
      <x:c r="O29" s="41" t="str">
        <x:v>Reported issuer/regulator value</x:v>
      </x:c>
      <x:c r="P29" s="41" t="str">
        <x:v>Preserve this issuer's reporting perimeter and period; amount is not normalized owner earnings or distributable cash.</x:v>
      </x:c>
    </x:row>
    <x:row r="30">
      <x:c r="A30" s="7"/>
      <x:c r="B30" s="7"/>
      <x:c r="C30" s="25" t="str">
        <x:v>P2-NSE-04-2</x:v>
      </x:c>
      <x:c r="D30" s="41" t="str">
        <x:v>Kakuzi PLC consolidated</x:v>
      </x:c>
      <x:c r="E30" s="41" t="str">
        <x:v>Profit before tax</x:v>
      </x:c>
      <x:c r="F30" s="25" t="n">
        <x:v>0.568417</x:v>
      </x:c>
      <x:c r="G30" s="25" t="str">
        <x:v>KES bn</x:v>
      </x:c>
      <x:c r="H30" s="41" t="str">
        <x:v>FY2025</x:v>
      </x:c>
      <x:c r="I30" s="41" t="str">
        <x:v>31-Dec-2025 fiscal year-end</x:v>
      </x:c>
      <x:c r="J30" s="41" t="str">
        <x:v>2025 report listing 24-Mar-2026</x:v>
      </x:c>
      <x:c r="K30" s="41" t="str">
        <x:v>24-Mar-2026 listing; results release 25-Mar-2026</x:v>
      </x:c>
      <x:c r="L30" s="41" t="str">
        <x:v>24-Sep-2026 (audit date; original source retrieval date not logged)</x:v>
      </x:c>
      <x:c r="M30" s="25" t="str">
        <x:v>KAKUZI-25</x:v>
      </x:c>
      <x:c r="N30" s="41" t="str">
        <x:v>NSE Casebook!H9; cited issuer/regulator record; document page/section not encoded in source register</x:v>
      </x:c>
      <x:c r="O30" s="41" t="str">
        <x:v>Reported issuer/regulator value</x:v>
      </x:c>
      <x:c r="P30" s="41" t="str">
        <x:v>Preserve this issuer's reporting perimeter and period; amount is not normalized owner earnings or distributable cash.</x:v>
      </x:c>
    </x:row>
    <x:row r="31">
      <x:c r="A31" s="7"/>
      <x:c r="B31" s="7"/>
      <x:c r="C31" s="25" t="str">
        <x:v>P2-NSE-04-3</x:v>
      </x:c>
      <x:c r="D31" s="41" t="str">
        <x:v>Kakuzi PLC consolidated</x:v>
      </x:c>
      <x:c r="E31" s="41" t="str">
        <x:v>Dividend per share</x:v>
      </x:c>
      <x:c r="F31" s="25" t="n">
        <x:v>16</x:v>
      </x:c>
      <x:c r="G31" s="25" t="str">
        <x:v>KES/share</x:v>
      </x:c>
      <x:c r="H31" s="41" t="str">
        <x:v>FY2025</x:v>
      </x:c>
      <x:c r="I31" s="41" t="str">
        <x:v>31-Dec-2025 fiscal year-end</x:v>
      </x:c>
      <x:c r="J31" s="41" t="str">
        <x:v>2025 report listing 24-Mar-2026</x:v>
      </x:c>
      <x:c r="K31" s="41" t="str">
        <x:v>24-Mar-2026 listing; results release 25-Mar-2026</x:v>
      </x:c>
      <x:c r="L31" s="41" t="str">
        <x:v>24-Sep-2026 (audit date; original source retrieval date not logged)</x:v>
      </x:c>
      <x:c r="M31" s="25" t="str">
        <x:v>KAKUZI-25</x:v>
      </x:c>
      <x:c r="N31" s="41" t="str">
        <x:v>NSE Casebook!J9; cited issuer/regulator record; document page/section not encoded in source register</x:v>
      </x:c>
      <x:c r="O31" s="41" t="str">
        <x:v>Reported issuer/regulator value</x:v>
      </x:c>
      <x:c r="P31" s="41" t="str">
        <x:v>Preserve this issuer's reporting perimeter and period; amount is not normalized owner earnings or distributable cash.</x:v>
      </x:c>
    </x:row>
    <x:row r="32">
      <x:c r="A32" s="7"/>
      <x:c r="B32" s="7"/>
      <x:c r="C32" s="25" t="str">
        <x:v>P2-NSE-05-1</x:v>
      </x:c>
      <x:c r="D32" s="41" t="str">
        <x:v>Safaricom PLC group</x:v>
      </x:c>
      <x:c r="E32" s="41" t="str">
        <x:v>Service revenue</x:v>
      </x:c>
      <x:c r="F32" s="25" t="n">
        <x:v>414.1</x:v>
      </x:c>
      <x:c r="G32" s="25" t="str">
        <x:v>KES bn</x:v>
      </x:c>
      <x:c r="H32" s="41" t="str">
        <x:v>FY2026</x:v>
      </x:c>
      <x:c r="I32" s="41" t="str">
        <x:v>31-Mar-2026 fiscal year-end</x:v>
      </x:c>
      <x:c r="J32" s="41" t="str">
        <x:v>FY26 results booklet dated 07-May-2026</x:v>
      </x:c>
      <x:c r="K32" s="41" t="str">
        <x:v>07-May-2026</x:v>
      </x:c>
      <x:c r="L32" s="41" t="str">
        <x:v>24-Sep-2026 (audit date; original source retrieval date not logged)</x:v>
      </x:c>
      <x:c r="M32" s="25" t="str">
        <x:v>SAF-FY26</x:v>
      </x:c>
      <x:c r="N32" s="41" t="str">
        <x:v>NSE Casebook!F10; cited issuer/regulator record; document page/section not encoded in source register</x:v>
      </x:c>
      <x:c r="O32" s="41" t="str">
        <x:v>Reported issuer/regulator value</x:v>
      </x:c>
      <x:c r="P32" s="41" t="str">
        <x:v>Preserve this issuer's reporting perimeter and period; amount is not normalized owner earnings or distributable cash.</x:v>
      </x:c>
    </x:row>
    <x:row r="33">
      <x:c r="A33" s="7"/>
      <x:c r="B33" s="7"/>
      <x:c r="C33" s="25" t="str">
        <x:v>P2-NSE-06-1</x:v>
      </x:c>
      <x:c r="D33" s="41" t="str">
        <x:v>British American Tobacco Kenya PLC consolidated</x:v>
      </x:c>
      <x:c r="E33" s="41" t="str">
        <x:v>Net revenue</x:v>
      </x:c>
      <x:c r="F33" s="25" t="n">
        <x:v>23.192</x:v>
      </x:c>
      <x:c r="G33" s="25" t="str">
        <x:v>KES bn</x:v>
      </x:c>
      <x:c r="H33" s="41" t="str">
        <x:v>FY2025</x:v>
      </x:c>
      <x:c r="I33" s="41" t="str">
        <x:v>31-Dec-2025 fiscal year-end</x:v>
      </x:c>
      <x:c r="J33" s="41" t="str">
        <x:v>Audited full-year results dated 26-Feb-2026</x:v>
      </x:c>
      <x:c r="K33" s="41" t="str">
        <x:v>26-Feb-2026</x:v>
      </x:c>
      <x:c r="L33" s="41" t="str">
        <x:v>24-Sep-2026 (audit date; original source retrieval date not logged)</x:v>
      </x:c>
      <x:c r="M33" s="25" t="str">
        <x:v>BAT-25</x:v>
      </x:c>
      <x:c r="N33" s="41" t="str">
        <x:v>NSE Casebook!F11; cited issuer/regulator record; document page/section not encoded in source register</x:v>
      </x:c>
      <x:c r="O33" s="41" t="str">
        <x:v>Reported issuer/regulator value</x:v>
      </x:c>
      <x:c r="P33" s="41" t="str">
        <x:v>Preserve this issuer's reporting perimeter and period; amount is not normalized owner earnings or distributable cash.</x:v>
      </x:c>
    </x:row>
    <x:row r="34">
      <x:c r="A34" s="7"/>
      <x:c r="B34" s="7"/>
      <x:c r="C34" s="25" t="str">
        <x:v>P2-NSE-06-2</x:v>
      </x:c>
      <x:c r="D34" s="41" t="str">
        <x:v>British American Tobacco Kenya PLC consolidated</x:v>
      </x:c>
      <x:c r="E34" s="41" t="str">
        <x:v>Operating cash</x:v>
      </x:c>
      <x:c r="F34" s="25" t="n">
        <x:v>6.642</x:v>
      </x:c>
      <x:c r="G34" s="25" t="str">
        <x:v>KES bn</x:v>
      </x:c>
      <x:c r="H34" s="41" t="str">
        <x:v>FY2025</x:v>
      </x:c>
      <x:c r="I34" s="41" t="str">
        <x:v>31-Dec-2025 fiscal year-end</x:v>
      </x:c>
      <x:c r="J34" s="41" t="str">
        <x:v>Audited full-year results dated 26-Feb-2026</x:v>
      </x:c>
      <x:c r="K34" s="41" t="str">
        <x:v>26-Feb-2026</x:v>
      </x:c>
      <x:c r="L34" s="41" t="str">
        <x:v>24-Sep-2026 (audit date; original source retrieval date not logged)</x:v>
      </x:c>
      <x:c r="M34" s="25" t="str">
        <x:v>BAT-25</x:v>
      </x:c>
      <x:c r="N34" s="41" t="str">
        <x:v>NSE Casebook!H11; cited issuer/regulator record; document page/section not encoded in source register</x:v>
      </x:c>
      <x:c r="O34" s="41" t="str">
        <x:v>Reported issuer/regulator value</x:v>
      </x:c>
      <x:c r="P34" s="41" t="str">
        <x:v>Preserve this issuer's reporting perimeter and period; amount is not normalized owner earnings or distributable cash.</x:v>
      </x:c>
    </x:row>
    <x:row r="35">
      <x:c r="A35" s="7"/>
      <x:c r="B35" s="7"/>
      <x:c r="C35" s="25" t="str">
        <x:v>P2-NSE-06-3</x:v>
      </x:c>
      <x:c r="D35" s="41" t="str">
        <x:v>British American Tobacco Kenya PLC consolidated</x:v>
      </x:c>
      <x:c r="E35" s="41" t="str">
        <x:v>Dividend per share</x:v>
      </x:c>
      <x:c r="F35" s="25" t="n">
        <x:v>70</x:v>
      </x:c>
      <x:c r="G35" s="25" t="str">
        <x:v>KES/share</x:v>
      </x:c>
      <x:c r="H35" s="41" t="str">
        <x:v>FY2025</x:v>
      </x:c>
      <x:c r="I35" s="41" t="str">
        <x:v>31-Dec-2025 fiscal year-end</x:v>
      </x:c>
      <x:c r="J35" s="41" t="str">
        <x:v>Audited full-year results dated 26-Feb-2026</x:v>
      </x:c>
      <x:c r="K35" s="41" t="str">
        <x:v>26-Feb-2026</x:v>
      </x:c>
      <x:c r="L35" s="41" t="str">
        <x:v>24-Sep-2026 (audit date; original source retrieval date not logged)</x:v>
      </x:c>
      <x:c r="M35" s="25" t="str">
        <x:v>BAT-25</x:v>
      </x:c>
      <x:c r="N35" s="41" t="str">
        <x:v>NSE Casebook!J11; cited issuer/regulator record; document page/section not encoded in source register</x:v>
      </x:c>
      <x:c r="O35" s="41" t="str">
        <x:v>Reported issuer/regulator value</x:v>
      </x:c>
      <x:c r="P35" s="41" t="str">
        <x:v>Preserve this issuer's reporting perimeter and period; amount is not normalized owner earnings or distributable cash.</x:v>
      </x:c>
    </x:row>
    <x:row r="36">
      <x:c r="A36" s="7"/>
      <x:c r="B36" s="7"/>
      <x:c r="C36" s="25" t="str">
        <x:v>P2-NSE-07-MISSING</x:v>
      </x:c>
      <x:c r="D36" s="41" t="str">
        <x:v>Home Afrika Limited group; project-level entity perimeter not supplied</x:v>
      </x:c>
      <x:c r="E36" s="41" t="str">
        <x:v>Project-level owner cash, cost to complete and collections</x:v>
      </x:c>
      <x:c r="F36" s="25" t="str">
        <x:v>not populated</x:v>
      </x:c>
      <x:c r="G36" s="25" t="str">
        <x:v>Not applicable</x:v>
      </x:c>
      <x:c r="H36" s="41" t="str">
        <x:v>FY2025 / H1 2026</x:v>
      </x:c>
      <x:c r="I36" s="41" t="str">
        <x:v>Not applicable: no observation entered</x:v>
      </x:c>
      <x:c r="J36" s="41" t="str">
        <x:v>Report listing does not establish publication date</x:v>
      </x:c>
      <x:c r="K36" s="41" t="str">
        <x:v>Not established from inspected listing</x:v>
      </x:c>
      <x:c r="L36" s="41" t="str">
        <x:v>24-Sep-2026 (audit date; original source retrieval date not logged)</x:v>
      </x:c>
      <x:c r="M36" s="25" t="str">
        <x:v>HOME-25 / HOME-H1</x:v>
      </x:c>
      <x:c r="N36" s="41" t="str">
        <x:v>NSE Casebook!F12:J12; Home Afrika project data fields</x:v>
      </x:c>
      <x:c r="O36" s="41" t="str">
        <x:v>Evidence gap</x:v>
      </x:c>
      <x:c r="P36" s="41" t="str">
        <x:v>Blank fields are not zero; project/legal-entity detail has not been entered or verified.</x:v>
      </x:c>
    </x:row>
    <x:row r="37">
      <x:c r="A37" s="7"/>
      <x:c r="B37" s="7"/>
      <x:c r="C37" s="25" t="str">
        <x:v>P2-REG-01</x:v>
      </x:c>
      <x:c r="D37" s="41" t="str">
        <x:v>Kenyan banking system; FY2025</x:v>
      </x:c>
      <x:c r="E37" s="41" t="str">
        <x:v>CBK total capital adequacy</x:v>
      </x:c>
      <x:c r="F37" s="25" t="n">
        <x:v>0.207</x:v>
      </x:c>
      <x:c r="G37" s="25" t="str">
        <x:v>%</x:v>
      </x:c>
      <x:c r="H37" s="41" t="str">
        <x:v>FY2025</x:v>
      </x:c>
      <x:c r="I37" s="41" t="str">
        <x:v>FY2025; exact aggregation cutoff not encoded</x:v>
      </x:c>
      <x:c r="J37" s="41" t="str">
        <x:v>Report 2025; source page posted 23-Sep-2026</x:v>
      </x:c>
      <x:c r="K37" s="41" t="str">
        <x:v>23-Sep-2026</x:v>
      </x:c>
      <x:c r="L37" s="41" t="str">
        <x:v>24-Sep-2026 (audit date; original source retrieval date not logged)</x:v>
      </x:c>
      <x:c r="M37" s="25" t="str">
        <x:v>CBK-2025</x:v>
      </x:c>
      <x:c r="N37" s="41" t="str">
        <x:v>Bank Insurance!D6; report table/page locator not recorded</x:v>
      </x:c>
      <x:c r="O37" s="41" t="str">
        <x:v>Reported regulator/issuer value</x:v>
      </x:c>
      <x:c r="P37" s="41" t="str">
        <x:v>System-wide ratios do not describe an individual bank; Jubilee group measures do not equal parent distributable cash.</x:v>
      </x:c>
    </x:row>
    <x:row r="38">
      <x:c r="A38" s="7"/>
      <x:c r="B38" s="7"/>
      <x:c r="C38" s="25" t="str">
        <x:v>P2-REG-02</x:v>
      </x:c>
      <x:c r="D38" s="41" t="str">
        <x:v>Kenyan banking system; FY2025</x:v>
      </x:c>
      <x:c r="E38" s="41" t="str">
        <x:v>CBK liquidity ratio</x:v>
      </x:c>
      <x:c r="F38" s="25" t="n">
        <x:v>0.593</x:v>
      </x:c>
      <x:c r="G38" s="25" t="str">
        <x:v>%</x:v>
      </x:c>
      <x:c r="H38" s="41" t="str">
        <x:v>FY2025</x:v>
      </x:c>
      <x:c r="I38" s="41" t="str">
        <x:v>FY2025; exact aggregation cutoff not encoded</x:v>
      </x:c>
      <x:c r="J38" s="41" t="str">
        <x:v>Report 2025; source page posted 23-Sep-2026</x:v>
      </x:c>
      <x:c r="K38" s="41" t="str">
        <x:v>23-Sep-2026</x:v>
      </x:c>
      <x:c r="L38" s="41" t="str">
        <x:v>24-Sep-2026 (audit date; original source retrieval date not logged)</x:v>
      </x:c>
      <x:c r="M38" s="25" t="str">
        <x:v>CBK-2025</x:v>
      </x:c>
      <x:c r="N38" s="41" t="str">
        <x:v>Bank Insurance!D7; report table/page locator not recorded</x:v>
      </x:c>
      <x:c r="O38" s="41" t="str">
        <x:v>Reported regulator/issuer value</x:v>
      </x:c>
      <x:c r="P38" s="41" t="str">
        <x:v>System-wide ratios do not describe an individual bank; Jubilee group measures do not equal parent distributable cash.</x:v>
      </x:c>
    </x:row>
    <x:row r="39">
      <x:c r="A39" s="7"/>
      <x:c r="B39" s="7"/>
      <x:c r="C39" s="25" t="str">
        <x:v>P2-REG-03</x:v>
      </x:c>
      <x:c r="D39" s="41" t="str">
        <x:v>Kenyan banking system; FY2025</x:v>
      </x:c>
      <x:c r="E39" s="41" t="str">
        <x:v>CBK gross NPL ratio</x:v>
      </x:c>
      <x:c r="F39" s="25" t="n">
        <x:v>0.16</x:v>
      </x:c>
      <x:c r="G39" s="25" t="str">
        <x:v>%</x:v>
      </x:c>
      <x:c r="H39" s="41" t="str">
        <x:v>FY2025</x:v>
      </x:c>
      <x:c r="I39" s="41" t="str">
        <x:v>FY2025; exact aggregation cutoff not encoded</x:v>
      </x:c>
      <x:c r="J39" s="41" t="str">
        <x:v>Report 2025; source page posted 23-Sep-2026</x:v>
      </x:c>
      <x:c r="K39" s="41" t="str">
        <x:v>23-Sep-2026</x:v>
      </x:c>
      <x:c r="L39" s="41" t="str">
        <x:v>24-Sep-2026 (audit date; original source retrieval date not logged)</x:v>
      </x:c>
      <x:c r="M39" s="25" t="str">
        <x:v>CBK-2025</x:v>
      </x:c>
      <x:c r="N39" s="41" t="str">
        <x:v>Bank Insurance!D8; report table/page locator not recorded</x:v>
      </x:c>
      <x:c r="O39" s="41" t="str">
        <x:v>Reported regulator/issuer value</x:v>
      </x:c>
      <x:c r="P39" s="41" t="str">
        <x:v>System-wide ratios do not describe an individual bank; Jubilee group measures do not equal parent distributable cash.</x:v>
      </x:c>
    </x:row>
    <x:row r="40">
      <x:c r="A40" s="7"/>
      <x:c r="B40" s="7"/>
      <x:c r="C40" s="25" t="str">
        <x:v>P2-REG-04</x:v>
      </x:c>
      <x:c r="D40" s="41" t="str">
        <x:v>Jubilee group; FY2025</x:v>
      </x:c>
      <x:c r="E40" s="41" t="str">
        <x:v>Jubilee FY2025 net profit</x:v>
      </x:c>
      <x:c r="F40" s="25" t="n">
        <x:v>5.6</x:v>
      </x:c>
      <x:c r="G40" s="25" t="str">
        <x:v>KES bn</x:v>
      </x:c>
      <x:c r="H40" s="41" t="str">
        <x:v>FY2025</x:v>
      </x:c>
      <x:c r="I40" s="41" t="str">
        <x:v>31-Dec-2025 fiscal year-end</x:v>
      </x:c>
      <x:c r="J40" s="41" t="str">
        <x:v>FY results release 09-Apr-2026</x:v>
      </x:c>
      <x:c r="K40" s="41" t="str">
        <x:v>09-Apr-2026</x:v>
      </x:c>
      <x:c r="L40" s="41" t="str">
        <x:v>24-Sep-2026 (audit date; original source retrieval date not logged)</x:v>
      </x:c>
      <x:c r="M40" s="25" t="str">
        <x:v>JUB-2025</x:v>
      </x:c>
      <x:c r="N40" s="41" t="str">
        <x:v>Bank Insurance!D9; report table/page locator not recorded</x:v>
      </x:c>
      <x:c r="O40" s="41" t="str">
        <x:v>Reported regulator/issuer value</x:v>
      </x:c>
      <x:c r="P40" s="41" t="str">
        <x:v>System-wide ratios do not describe an individual bank; Jubilee group measures do not equal parent distributable cash.</x:v>
      </x:c>
    </x:row>
    <x:row r="41">
      <x:c r="A41" s="7"/>
      <x:c r="B41" s="7"/>
      <x:c r="C41" s="25" t="str">
        <x:v>P2-REG-05</x:v>
      </x:c>
      <x:c r="D41" s="41" t="str">
        <x:v>Jubilee group; FY2025</x:v>
      </x:c>
      <x:c r="E41" s="41" t="str">
        <x:v>Jubilee FY2025 profit before tax</x:v>
      </x:c>
      <x:c r="F41" s="25" t="n">
        <x:v>7.2</x:v>
      </x:c>
      <x:c r="G41" s="25" t="str">
        <x:v>KES bn</x:v>
      </x:c>
      <x:c r="H41" s="41" t="str">
        <x:v>FY2025</x:v>
      </x:c>
      <x:c r="I41" s="41" t="str">
        <x:v>31-Dec-2025 fiscal year-end</x:v>
      </x:c>
      <x:c r="J41" s="41" t="str">
        <x:v>FY results release 09-Apr-2026</x:v>
      </x:c>
      <x:c r="K41" s="41" t="str">
        <x:v>09-Apr-2026</x:v>
      </x:c>
      <x:c r="L41" s="41" t="str">
        <x:v>24-Sep-2026 (audit date; original source retrieval date not logged)</x:v>
      </x:c>
      <x:c r="M41" s="25" t="str">
        <x:v>JUB-2025</x:v>
      </x:c>
      <x:c r="N41" s="41" t="str">
        <x:v>Bank Insurance!D10; report table/page locator not recorded</x:v>
      </x:c>
      <x:c r="O41" s="41" t="str">
        <x:v>Reported regulator/issuer value</x:v>
      </x:c>
      <x:c r="P41" s="41" t="str">
        <x:v>System-wide ratios do not describe an individual bank; Jubilee group measures do not equal parent distributable cash.</x:v>
      </x:c>
    </x:row>
    <x:row r="42">
      <x:c r="A42" s="7"/>
      <x:c r="B42" s="7"/>
      <x:c r="C42" s="25" t="str">
        <x:v>P2-REG-06</x:v>
      </x:c>
      <x:c r="D42" s="41" t="str">
        <x:v>Jubilee group; FY2025</x:v>
      </x:c>
      <x:c r="E42" s="41" t="str">
        <x:v>Jubilee gross premiums + deposit contributions</x:v>
      </x:c>
      <x:c r="F42" s="25" t="n">
        <x:v>62.4</x:v>
      </x:c>
      <x:c r="G42" s="25" t="str">
        <x:v>KES bn</x:v>
      </x:c>
      <x:c r="H42" s="41" t="str">
        <x:v>FY2025</x:v>
      </x:c>
      <x:c r="I42" s="41" t="str">
        <x:v>31-Dec-2025 fiscal year-end</x:v>
      </x:c>
      <x:c r="J42" s="41" t="str">
        <x:v>FY results release 09-Apr-2026</x:v>
      </x:c>
      <x:c r="K42" s="41" t="str">
        <x:v>09-Apr-2026</x:v>
      </x:c>
      <x:c r="L42" s="41" t="str">
        <x:v>24-Sep-2026 (audit date; original source retrieval date not logged)</x:v>
      </x:c>
      <x:c r="M42" s="25" t="str">
        <x:v>JUB-2025</x:v>
      </x:c>
      <x:c r="N42" s="41" t="str">
        <x:v>Bank Insurance!D11; report table/page locator not recorded</x:v>
      </x:c>
      <x:c r="O42" s="41" t="str">
        <x:v>Reported regulator/issuer value</x:v>
      </x:c>
      <x:c r="P42" s="41" t="str">
        <x:v>System-wide ratios do not describe an individual bank; Jubilee group measures do not equal parent distributable cash.</x:v>
      </x:c>
    </x:row>
    <x:row r="43">
      <x:c r="A43" s="7"/>
      <x:c r="B43" s="7"/>
      <x:c r="C43" s="25" t="str">
        <x:v>P2-PROFILE-01</x:v>
      </x:c>
      <x:c r="D43" s="41" t="str">
        <x:v>NVIDIA</x:v>
      </x:c>
      <x:c r="E43" s="41" t="str">
        <x:v>Normalized profile stress case: base index and distinct operating/reinvestment/priority-claim shock</x:v>
      </x:c>
      <x:c r="F43" s="25" t="n">
        <x:v>100</x:v>
      </x:c>
      <x:c r="G43" s="25" t="str">
        <x:v>index points; normalized</x:v>
      </x:c>
      <x:c r="H43" s="41" t="str">
        <x:v>Hypothetical scenario; no fiscal period</x:v>
      </x:c>
      <x:c r="I43" s="41" t="str">
        <x:v>Not applicable: scenario</x:v>
      </x:c>
      <x:c r="J43" s="41" t="str">
        <x:v>Not applicable</x:v>
      </x:c>
      <x:c r="K43" s="41" t="str">
        <x:v>Not applicable</x:v>
      </x:c>
      <x:c r="L43" s="41" t="str">
        <x:v>Not applicable: analyst-selected inputs</x:v>
      </x:c>
      <x:c r="M43" s="25" t="str">
        <x:v>SCENARIO-PROFILE</x:v>
      </x:c>
      <x:c r="N43" s="41" t="str">
        <x:v>Profile Stress!E7:L7</x:v>
      </x:c>
      <x:c r="O43" s="41" t="str">
        <x:v>Hypothetical scenario</x:v>
      </x:c>
      <x:c r="P43" s="41" t="str">
        <x:v>Index base 100 and stress parameters are analyst-selected, not reported company data, forecast, valuation or measured probability.</x:v>
      </x:c>
    </x:row>
    <x:row r="44">
      <x:c r="A44" s="7"/>
      <x:c r="B44" s="7"/>
      <x:c r="C44" s="25" t="str">
        <x:v>P2-PROFILE-02</x:v>
      </x:c>
      <x:c r="D44" s="41" t="str">
        <x:v>Equinix</x:v>
      </x:c>
      <x:c r="E44" s="41" t="str">
        <x:v>Normalized profile stress case: base index and distinct operating/reinvestment/priority-claim shock</x:v>
      </x:c>
      <x:c r="F44" s="25" t="n">
        <x:v>100</x:v>
      </x:c>
      <x:c r="G44" s="25" t="str">
        <x:v>index points; normalized</x:v>
      </x:c>
      <x:c r="H44" s="41" t="str">
        <x:v>Hypothetical scenario; no fiscal period</x:v>
      </x:c>
      <x:c r="I44" s="41" t="str">
        <x:v>Not applicable: scenario</x:v>
      </x:c>
      <x:c r="J44" s="41" t="str">
        <x:v>Not applicable</x:v>
      </x:c>
      <x:c r="K44" s="41" t="str">
        <x:v>Not applicable</x:v>
      </x:c>
      <x:c r="L44" s="41" t="str">
        <x:v>Not applicable: analyst-selected inputs</x:v>
      </x:c>
      <x:c r="M44" s="25" t="str">
        <x:v>SCENARIO-PROFILE</x:v>
      </x:c>
      <x:c r="N44" s="41" t="str">
        <x:v>Profile Stress!E8:L8</x:v>
      </x:c>
      <x:c r="O44" s="41" t="str">
        <x:v>Hypothetical scenario</x:v>
      </x:c>
      <x:c r="P44" s="41" t="str">
        <x:v>Index base 100 and stress parameters are analyst-selected, not reported company data, forecast, valuation or measured probability.</x:v>
      </x:c>
    </x:row>
    <x:row r="45">
      <x:c r="A45" s="7"/>
      <x:c r="B45" s="7"/>
      <x:c r="C45" s="25" t="str">
        <x:v>P2-PROFILE-03</x:v>
      </x:c>
      <x:c r="D45" s="41" t="str">
        <x:v>Equity Group</x:v>
      </x:c>
      <x:c r="E45" s="41" t="str">
        <x:v>Normalized profile stress case: base index and distinct operating/reinvestment/priority-claim shock</x:v>
      </x:c>
      <x:c r="F45" s="25" t="n">
        <x:v>100</x:v>
      </x:c>
      <x:c r="G45" s="25" t="str">
        <x:v>index points; normalized</x:v>
      </x:c>
      <x:c r="H45" s="41" t="str">
        <x:v>Hypothetical scenario; no fiscal period</x:v>
      </x:c>
      <x:c r="I45" s="41" t="str">
        <x:v>Not applicable: scenario</x:v>
      </x:c>
      <x:c r="J45" s="41" t="str">
        <x:v>Not applicable</x:v>
      </x:c>
      <x:c r="K45" s="41" t="str">
        <x:v>Not applicable</x:v>
      </x:c>
      <x:c r="L45" s="41" t="str">
        <x:v>Not applicable: analyst-selected inputs</x:v>
      </x:c>
      <x:c r="M45" s="25" t="str">
        <x:v>SCENARIO-PROFILE</x:v>
      </x:c>
      <x:c r="N45" s="41" t="str">
        <x:v>Profile Stress!E9:L9</x:v>
      </x:c>
      <x:c r="O45" s="41" t="str">
        <x:v>Hypothetical scenario</x:v>
      </x:c>
      <x:c r="P45" s="41" t="str">
        <x:v>Index base 100 and stress parameters are analyst-selected, not reported company data, forecast, valuation or measured probability.</x:v>
      </x:c>
    </x:row>
    <x:row r="46">
      <x:c r="A46" s="7"/>
      <x:c r="B46" s="7"/>
      <x:c r="C46" s="25" t="str">
        <x:v>P2-PROFILE-04</x:v>
      </x:c>
      <x:c r="D46" s="41" t="str">
        <x:v>Jubilee</x:v>
      </x:c>
      <x:c r="E46" s="41" t="str">
        <x:v>Normalized profile stress case: base index and distinct operating/reinvestment/priority-claim shock</x:v>
      </x:c>
      <x:c r="F46" s="25" t="n">
        <x:v>100</x:v>
      </x:c>
      <x:c r="G46" s="25" t="str">
        <x:v>index points; normalized</x:v>
      </x:c>
      <x:c r="H46" s="41" t="str">
        <x:v>Hypothetical scenario; no fiscal period</x:v>
      </x:c>
      <x:c r="I46" s="41" t="str">
        <x:v>Not applicable: scenario</x:v>
      </x:c>
      <x:c r="J46" s="41" t="str">
        <x:v>Not applicable</x:v>
      </x:c>
      <x:c r="K46" s="41" t="str">
        <x:v>Not applicable</x:v>
      </x:c>
      <x:c r="L46" s="41" t="str">
        <x:v>Not applicable: analyst-selected inputs</x:v>
      </x:c>
      <x:c r="M46" s="25" t="str">
        <x:v>SCENARIO-PROFILE</x:v>
      </x:c>
      <x:c r="N46" s="41" t="str">
        <x:v>Profile Stress!E10:L10</x:v>
      </x:c>
      <x:c r="O46" s="41" t="str">
        <x:v>Hypothetical scenario</x:v>
      </x:c>
      <x:c r="P46" s="41" t="str">
        <x:v>Index base 100 and stress parameters are analyst-selected, not reported company data, forecast, valuation or measured probability.</x:v>
      </x:c>
    </x:row>
    <x:row r="47">
      <x:c r="A47" s="7"/>
      <x:c r="B47" s="7"/>
      <x:c r="C47" s="25" t="str">
        <x:v>P2-PROFILE-05</x:v>
      </x:c>
      <x:c r="D47" s="41" t="str">
        <x:v>KenGen</x:v>
      </x:c>
      <x:c r="E47" s="41" t="str">
        <x:v>Normalized profile stress case: base index and distinct operating/reinvestment/priority-claim shock</x:v>
      </x:c>
      <x:c r="F47" s="25" t="n">
        <x:v>100</x:v>
      </x:c>
      <x:c r="G47" s="25" t="str">
        <x:v>index points; normalized</x:v>
      </x:c>
      <x:c r="H47" s="41" t="str">
        <x:v>Hypothetical scenario; no fiscal period</x:v>
      </x:c>
      <x:c r="I47" s="41" t="str">
        <x:v>Not applicable: scenario</x:v>
      </x:c>
      <x:c r="J47" s="41" t="str">
        <x:v>Not applicable</x:v>
      </x:c>
      <x:c r="K47" s="41" t="str">
        <x:v>Not applicable</x:v>
      </x:c>
      <x:c r="L47" s="41" t="str">
        <x:v>Not applicable: analyst-selected inputs</x:v>
      </x:c>
      <x:c r="M47" s="25" t="str">
        <x:v>SCENARIO-PROFILE</x:v>
      </x:c>
      <x:c r="N47" s="41" t="str">
        <x:v>Profile Stress!E11:L11</x:v>
      </x:c>
      <x:c r="O47" s="41" t="str">
        <x:v>Hypothetical scenario</x:v>
      </x:c>
      <x:c r="P47" s="41" t="str">
        <x:v>Index base 100 and stress parameters are analyst-selected, not reported company data, forecast, valuation or measured probability.</x:v>
      </x:c>
    </x:row>
    <x:row r="48">
      <x:c r="A48" s="7"/>
      <x:c r="B48" s="7"/>
      <x:c r="C48" s="25" t="str">
        <x:v>P2-PROFILE-06</x:v>
      </x:c>
      <x:c r="D48" s="41" t="str">
        <x:v>Kakuzi</x:v>
      </x:c>
      <x:c r="E48" s="41" t="str">
        <x:v>Normalized profile stress case: base index and distinct operating/reinvestment/priority-claim shock</x:v>
      </x:c>
      <x:c r="F48" s="25" t="n">
        <x:v>100</x:v>
      </x:c>
      <x:c r="G48" s="25" t="str">
        <x:v>index points; normalized</x:v>
      </x:c>
      <x:c r="H48" s="41" t="str">
        <x:v>Hypothetical scenario; no fiscal period</x:v>
      </x:c>
      <x:c r="I48" s="41" t="str">
        <x:v>Not applicable: scenario</x:v>
      </x:c>
      <x:c r="J48" s="41" t="str">
        <x:v>Not applicable</x:v>
      </x:c>
      <x:c r="K48" s="41" t="str">
        <x:v>Not applicable</x:v>
      </x:c>
      <x:c r="L48" s="41" t="str">
        <x:v>Not applicable: analyst-selected inputs</x:v>
      </x:c>
      <x:c r="M48" s="25" t="str">
        <x:v>SCENARIO-PROFILE</x:v>
      </x:c>
      <x:c r="N48" s="41" t="str">
        <x:v>Profile Stress!E12:L12</x:v>
      </x:c>
      <x:c r="O48" s="41" t="str">
        <x:v>Hypothetical scenario</x:v>
      </x:c>
      <x:c r="P48" s="41" t="str">
        <x:v>Index base 100 and stress parameters are analyst-selected, not reported company data, forecast, valuation or measured probability.</x:v>
      </x:c>
    </x:row>
    <x:row r="49">
      <x:c r="A49" s="7"/>
      <x:c r="B49" s="7"/>
      <x:c r="C49" s="25" t="str">
        <x:v>P2-PROFILE-07</x:v>
      </x:c>
      <x:c r="D49" s="41" t="str">
        <x:v>Safaricom</x:v>
      </x:c>
      <x:c r="E49" s="41" t="str">
        <x:v>Normalized profile stress case: base index and distinct operating/reinvestment/priority-claim shock</x:v>
      </x:c>
      <x:c r="F49" s="25" t="n">
        <x:v>100</x:v>
      </x:c>
      <x:c r="G49" s="25" t="str">
        <x:v>index points; normalized</x:v>
      </x:c>
      <x:c r="H49" s="41" t="str">
        <x:v>Hypothetical scenario; no fiscal period</x:v>
      </x:c>
      <x:c r="I49" s="41" t="str">
        <x:v>Not applicable: scenario</x:v>
      </x:c>
      <x:c r="J49" s="41" t="str">
        <x:v>Not applicable</x:v>
      </x:c>
      <x:c r="K49" s="41" t="str">
        <x:v>Not applicable</x:v>
      </x:c>
      <x:c r="L49" s="41" t="str">
        <x:v>Not applicable: analyst-selected inputs</x:v>
      </x:c>
      <x:c r="M49" s="25" t="str">
        <x:v>SCENARIO-PROFILE</x:v>
      </x:c>
      <x:c r="N49" s="41" t="str">
        <x:v>Profile Stress!E13:L13</x:v>
      </x:c>
      <x:c r="O49" s="41" t="str">
        <x:v>Hypothetical scenario</x:v>
      </x:c>
      <x:c r="P49" s="41" t="str">
        <x:v>Index base 100 and stress parameters are analyst-selected, not reported company data, forecast, valuation or measured probability.</x:v>
      </x:c>
    </x:row>
    <x:row r="50">
      <x:c r="A50" s="7"/>
      <x:c r="B50" s="7"/>
      <x:c r="C50" s="25" t="str">
        <x:v>P2-PROFILE-08</x:v>
      </x:c>
      <x:c r="D50" s="41" t="str">
        <x:v>BAT Kenya</x:v>
      </x:c>
      <x:c r="E50" s="41" t="str">
        <x:v>Normalized profile stress case: base index and distinct operating/reinvestment/priority-claim shock</x:v>
      </x:c>
      <x:c r="F50" s="25" t="n">
        <x:v>100</x:v>
      </x:c>
      <x:c r="G50" s="25" t="str">
        <x:v>index points; normalized</x:v>
      </x:c>
      <x:c r="H50" s="41" t="str">
        <x:v>Hypothetical scenario; no fiscal period</x:v>
      </x:c>
      <x:c r="I50" s="41" t="str">
        <x:v>Not applicable: scenario</x:v>
      </x:c>
      <x:c r="J50" s="41" t="str">
        <x:v>Not applicable</x:v>
      </x:c>
      <x:c r="K50" s="41" t="str">
        <x:v>Not applicable</x:v>
      </x:c>
      <x:c r="L50" s="41" t="str">
        <x:v>Not applicable: analyst-selected inputs</x:v>
      </x:c>
      <x:c r="M50" s="25" t="str">
        <x:v>SCENARIO-PROFILE</x:v>
      </x:c>
      <x:c r="N50" s="41" t="str">
        <x:v>Profile Stress!E14:L14</x:v>
      </x:c>
      <x:c r="O50" s="41" t="str">
        <x:v>Hypothetical scenario</x:v>
      </x:c>
      <x:c r="P50" s="41" t="str">
        <x:v>Index base 100 and stress parameters are analyst-selected, not reported company data, forecast, valuation or measured probability.</x:v>
      </x:c>
    </x:row>
    <x:row r="51">
      <x:c r="A51" s="7"/>
      <x:c r="B51" s="7"/>
      <x:c r="C51" s="25" t="str">
        <x:v>P2-PROFILE-09</x:v>
      </x:c>
      <x:c r="D51" s="41" t="str">
        <x:v>Home Afrika</x:v>
      </x:c>
      <x:c r="E51" s="41" t="str">
        <x:v>Normalized profile stress case: base index and distinct operating/reinvestment/priority-claim shock</x:v>
      </x:c>
      <x:c r="F51" s="25" t="n">
        <x:v>100</x:v>
      </x:c>
      <x:c r="G51" s="25" t="str">
        <x:v>index points; normalized</x:v>
      </x:c>
      <x:c r="H51" s="41" t="str">
        <x:v>Hypothetical scenario; no fiscal period</x:v>
      </x:c>
      <x:c r="I51" s="41" t="str">
        <x:v>Not applicable: scenario</x:v>
      </x:c>
      <x:c r="J51" s="41" t="str">
        <x:v>Not applicable</x:v>
      </x:c>
      <x:c r="K51" s="41" t="str">
        <x:v>Not applicable</x:v>
      </x:c>
      <x:c r="L51" s="41" t="str">
        <x:v>Not applicable: analyst-selected inputs</x:v>
      </x:c>
      <x:c r="M51" s="25" t="str">
        <x:v>SCENARIO-PROFILE</x:v>
      </x:c>
      <x:c r="N51" s="41" t="str">
        <x:v>Profile Stress!E15:L15</x:v>
      </x:c>
      <x:c r="O51" s="41" t="str">
        <x:v>Hypothetical scenario</x:v>
      </x:c>
      <x:c r="P51" s="41" t="str">
        <x:v>Index base 100 and stress parameters are analyst-selected, not reported company data, forecast, valuation or measured probability.</x:v>
      </x:c>
    </x:row>
    <x:row r="52">
      <x:c r="A52" s="7"/>
      <x:c r="B52" s="7"/>
      <x:c r="C52" s="26" t="str">
        <x:v>P2-PROJECT-SCREEN</x:v>
      </x:c>
      <x:c r="D52" s="42" t="str">
        <x:v>Fictional project; no issuer entity</x:v>
      </x:c>
      <x:c r="E52" s="42" t="str">
        <x:v>Stabilized project cash yield inputs and result</x:v>
      </x:c>
      <x:c r="F52" s="26" t="str">
        <x:v>Inputs KES 10,000m project cost; KES 1,800m revenue; KES 800m cost; KES 150m renewal; calculated contribution/yield</x:v>
      </x:c>
      <x:c r="G52" s="26" t="str">
        <x:v>KES million and percent</x:v>
      </x:c>
      <x:c r="H52" s="42" t="str">
        <x:v>Illustrative stabilized annual case; no FY assigned</x:v>
      </x:c>
      <x:c r="I52" s="42" t="str">
        <x:v>Not applicable: scenario</x:v>
      </x:c>
      <x:c r="J52" s="42" t="str">
        <x:v>Not applicable</x:v>
      </x:c>
      <x:c r="K52" s="42" t="str">
        <x:v>Not applicable</x:v>
      </x:c>
      <x:c r="L52" s="42" t="str">
        <x:v>Not applicable: analyst-selected inputs</x:v>
      </x:c>
      <x:c r="M52" s="26" t="str">
        <x:v>SCENARIO-PROJECT</x:v>
      </x:c>
      <x:c r="N52" s="42" t="str">
        <x:v>Asset Heavy!D13:D18</x:v>
      </x:c>
      <x:c r="O52" s="42" t="str">
        <x:v>Hypothetical scenario</x:v>
      </x:c>
      <x:c r="P52" s="42" t="str">
        <x:v>Does not describe Equinix or any named NSE issuer; not project IRR.</x:v>
      </x:c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</x:row>
  </x:sheetData>
  <x:pageMargins left="0.7" right="0.7" top="0.75" bottom="0.75" header="0.3" footer="0.3"/>
</x:worksheet>
</file>