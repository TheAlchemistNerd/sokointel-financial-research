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e3f2ed65794b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uide" sheetId="1" r:id="R0a14714deb0e4882"/>
    <x:sheet xmlns:r="http://schemas.openxmlformats.org/officeDocument/2006/relationships" name="P1 - Cost of Ownership" sheetId="2" r:id="R0eda23e80b2b4c7f"/>
    <x:sheet xmlns:r="http://schemas.openxmlformats.org/officeDocument/2006/relationships" name="P1 - NRA Tax" sheetId="3" r:id="Re2701a38b38045db"/>
    <x:sheet xmlns:r="http://schemas.openxmlformats.org/officeDocument/2006/relationships" name="P2 - Diversification" sheetId="4" r:id="R9c6e3b93ec40435a"/>
    <x:sheet xmlns:r="http://schemas.openxmlformats.org/officeDocument/2006/relationships" name="P2 - Blended ER" sheetId="5" r:id="R946ebf944a324f8f"/>
    <x:sheet xmlns:r="http://schemas.openxmlformats.org/officeDocument/2006/relationships" name="P3 - HHI Concentration" sheetId="6" r:id="R9e820396e2684d5d"/>
    <x:sheet xmlns:r="http://schemas.openxmlformats.org/officeDocument/2006/relationships" name="P4 - Matrix Variance" sheetId="7" r:id="R84497487b3c643ba"/>
    <x:sheet xmlns:r="http://schemas.openxmlformats.org/officeDocument/2006/relationships" name="P4 - Options Wheel" sheetId="8" r:id="R0c26497295854ee1"/>
    <x:sheet xmlns:r="http://schemas.openxmlformats.org/officeDocument/2006/relationships" name="P4 - Tax Calculators" sheetId="9" r:id="Rcc8c5045d31149d7"/>
    <x:sheet xmlns:r="http://schemas.openxmlformats.org/officeDocument/2006/relationships" name="P5 - Rebalancing" sheetId="10" r:id="Ra6cd266b71d54921"/>
    <x:sheet xmlns:r="http://schemas.openxmlformats.org/officeDocument/2006/relationships" name="P5 - DCA vs Lump Sum" sheetId="11" r:id="Rc0981abe752a41d0"/>
    <x:sheet xmlns:r="http://schemas.openxmlformats.org/officeDocument/2006/relationships" name="P5 - Sequence of Returns" sheetId="12" r:id="Rdae9384d51c9405e"/>
    <x:sheet xmlns:r="http://schemas.openxmlformats.org/officeDocument/2006/relationships" name="P5 - Case Study" sheetId="13" r:id="Re3f47b59043a4bee"/>
  </x:sheets>
</x:workbook>
</file>

<file path=xl/sharedStrings.xml><?xml version="1.0" encoding="utf-8"?>
<x:sst xmlns:x="http://schemas.openxmlformats.org/spreadsheetml/2006/main">
  <x:si>
    <x:t xml:space="preserve">US Markets and Portfolio Construction — Companion Workbook</x:t>
  </x:si>
  <x:si>
    <x:t xml:space="preserve">Every calculation table and worked example across the five-part article series, live and editable.</x:t>
  </x:si>
  <x:si>
    <x:t xml:space="preserve">Color legend</x:t>
  </x:si>
  <x:si>
    <x:t xml:space="preserve">Blue text</x:t>
  </x:si>
  <x:si>
    <x:t xml:space="preserve">A supplied input or assumption. Change these — every formula recalculates.</x:t>
  </x:si>
  <x:si>
    <x:t xml:space="preserve">Black text</x:t>
  </x:si>
  <x:si>
    <x:t xml:space="preserve">A formula that calculates using only cells on the same worksheet.</x:t>
  </x:si>
  <x:si>
    <x:t xml:space="preserve">Green text</x:t>
  </x:si>
  <x:si>
    <x:t xml:space="preserve">A formula that pulls a value from a different worksheet in this workbook.</x:t>
  </x:si>
  <x:si>
    <x:t xml:space="preserve">Yellow fill</x:t>
  </x:si>
  <x:si>
    <x:t xml:space="preserve">A key assumption worth double-checking before relying on the sheet.</x:t>
  </x:si>
  <x:si>
    <x:t xml:space="preserve">Sheet index</x:t>
  </x:si>
  <x:si>
    <x:t xml:space="preserve">P1 - Cost of Ownership</x:t>
  </x:si>
  <x:si>
    <x:t xml:space="preserve">Expense-ratio compounding across six vehicles; Part 1, Table 1 and Appendix 1.</x:t>
  </x:si>
  <x:si>
    <x:t xml:space="preserve">P1 - NRA Tax</x:t>
  </x:si>
  <x:si>
    <x:t xml:space="preserve">Nonresident-alien dividend withholding and US estate-tax threshold calculators; Part 1 / Appendix 1.</x:t>
  </x:si>
  <x:si>
    <x:t xml:space="preserve">P2 - Diversification</x:t>
  </x:si>
  <x:si>
    <x:t xml:space="preserve">Two- and three-asset portfolio variance, with a correlation-sensitivity table; Part 2 / Appendix 2.</x:t>
  </x:si>
  <x:si>
    <x:t xml:space="preserve">P2 - Blended ER</x:t>
  </x:si>
  <x:si>
    <x:t xml:space="preserve">Weighted blended expense ratio for a multi-sleeve core-satellite portfolio; Part 2, Table 2.</x:t>
  </x:si>
  <x:si>
    <x:t xml:space="preserve">P3 - HHI Concentration</x:t>
  </x:si>
  <x:si>
    <x:t xml:space="preserve">Herfindahl-Hirschman Index and effective-N calculator for up to 30 holdings; Part 3 / Appendix 3.</x:t>
  </x:si>
  <x:si>
    <x:t xml:space="preserve">P4 - Matrix Variance</x:t>
  </x:si>
  <x:si>
    <x:t xml:space="preserve">Four-asset portfolio variance in matrix form; Part 4, Equation 4.1 / Appendix 4.</x:t>
  </x:si>
  <x:si>
    <x:t xml:space="preserve">P4 - Options Wheel</x:t>
  </x:si>
  <x:si>
    <x:t xml:space="preserve">Cash-secured put and covered-call cycle economics; Part 4, Table 1 / Appendix 4.</x:t>
  </x:si>
  <x:si>
    <x:t xml:space="preserve">P4 - Tax Calculators</x:t>
  </x:si>
  <x:si>
    <x:t xml:space="preserve">Qualified-dividend, wash-sale, and 2026 long-term capital-gains bracket calculators; Part 4.</x:t>
  </x:si>
  <x:si>
    <x:t xml:space="preserve">P5 - Rebalancing</x:t>
  </x:si>
  <x:si>
    <x:t xml:space="preserve">One-year drift and the rebalancing trade required to restore target weights; Part 5, Table 2 / Appendix 5.</x:t>
  </x:si>
  <x:si>
    <x:t xml:space="preserve">P5 - DCA vs Lump Sum</x:t>
  </x:si>
  <x:si>
    <x:t xml:space="preserve">Lump-sum vs. dollar-cost-averaging comparison under two illustrative return paths; Part 5, Table 1.</x:t>
  </x:si>
  <x:si>
    <x:t xml:space="preserve">P5 - Sequence of Returns</x:t>
  </x:si>
  <x:si>
    <x:t xml:space="preserve">Identical average return, reordered, showing the effect of withdrawal timing; Part 5, Table 3 / Appendix 5.</x:t>
  </x:si>
  <x:si>
    <x:t xml:space="preserve">P5 - Case Study</x:t>
  </x:si>
  <x:si>
    <x:t xml:space="preserve">Ten-year accumulation projection for the full worked case study; Part 5, Table 4 / Appendix 5.</x:t>
  </x:si>
  <x:si>
    <x:t xml:space="preserve">All growth-rate, volatility, correlation, and yield figures throughout this workbook are clearly labelled illustrative assumptions for demonstration purposes, matching the corresponding article text — not forecasts, and not personalized financial or tax advice. Expense ratios, statutory tax thresholds, and index-methodology facts are sourced from the primary sources cited in each article's reference list, current as of the 'Accessed' dates shown there.</x:t>
  </x:si>
  <x:si>
    <x:t xml:space="preserve">Part 1 — Cost of Ownership: Expense-Ratio Compounding</x:t>
  </x:si>
  <x:si>
    <x:t xml:space="preserve">Change the principal or gross-return assumption below (blue) and every fund's projected value recalculates.</x:t>
  </x:si>
  <x:si>
    <x:t xml:space="preserve">Initial principal ($)</x:t>
  </x:si>
  <x:si>
    <x:t xml:space="preserve">Equation 1.1: FV = P × (1 + r − e)^n. r and the horizon (10/20/30y) are the only assumptions; everything else on this sheet is a live formula.</x:t>
  </x:si>
  <x:si>
    <x:t xml:space="preserve">Assumed gross annual return (before fees)</x:t>
  </x:si>
  <x:si>
    <x:t xml:space="preserve">Vehicle</x:t>
  </x:si>
  <x:si>
    <x:t xml:space="preserve">Expense ratio</x:t>
  </x:si>
  <x:si>
    <x:t xml:space="preserve">Net return (r−e)</x:t>
  </x:si>
  <x:si>
    <x:t xml:space="preserve">Value after 10y</x:t>
  </x:si>
  <x:si>
    <x:t xml:space="preserve">Value after 20y</x:t>
  </x:si>
  <x:si>
    <x:t xml:space="preserve">Value after 30y</x:t>
  </x:si>
  <x:si>
    <x:t xml:space="preserve">30y cost vs. cheapest</x:t>
  </x:si>
  <x:si>
    <x:t xml:space="preserve">SPYM (S&amp;P 500)</x:t>
  </x:si>
  <x:si>
    <x:t xml:space="preserve">VOO / IVV (S&amp;P 500)</x:t>
  </x:si>
  <x:si>
    <x:t xml:space="preserve">SPY (S&amp;P 500, UIT)</x:t>
  </x:si>
  <x:si>
    <x:t xml:space="preserve">QQQM (Nasdaq-100)</x:t>
  </x:si>
  <x:si>
    <x:t xml:space="preserve">QQQ (Nasdaq-100)</x:t>
  </x:si>
  <x:si>
    <x:t xml:space="preserve">Illustrative actively managed fund</x:t>
  </x:si>
  <x:si>
    <x:t xml:space="preserve">Row 1 (SPYM) is the cheapest vehicle in this illustration, so its own 30-year cost-vs-cheapest is $0 by construction.</x:t>
  </x:si>
  <x:si>
    <x:t xml:space="preserve">Sensitivity: 30-year value at different gross-return assumptions (Appendix 1, A1.3)</x:t>
  </x:si>
  <x:si>
    <x:t xml:space="preserve">Gross return</x:t>
  </x:si>
  <x:si>
    <x:t xml:space="preserve">Part 1 — Nonresident-Alien Withholding and Estate-Tax Thresholds</x:t>
  </x:si>
  <x:si>
    <x:t xml:space="preserve">1. Dividend withholding</x:t>
  </x:si>
  <x:si>
    <x:t xml:space="preserve">Position size ($)</x:t>
  </x:si>
  <x:si>
    <x:t xml:space="preserve">Illustrative annual yield</x:t>
  </x:si>
  <x:si>
    <x:t xml:space="preserve">No-treaty statutory withholding rate</x:t>
  </x:si>
  <x:si>
    <x:t xml:space="preserve">Illustrative treaty withholding rate</x:t>
  </x:si>
  <x:si>
    <x:t xml:space="preserve">Gross annual dividend</x:t>
  </x:si>
  <x:si>
    <x:t xml:space="preserve">Withholding rate</x:t>
  </x:si>
  <x:si>
    <x:t xml:space="preserve">Tax withheld</x:t>
  </x:si>
  <x:si>
    <x:t xml:space="preserve">Net received</x:t>
  </x:si>
  <x:si>
    <x:t xml:space="preserve">No treaty</x:t>
  </x:si>
  <x:si>
    <x:t xml:space="preserve">Illustrative treaty</x:t>
  </x:si>
  <x:si>
    <x:t xml:space="preserve">Annual gap from lacking a treaty</x:t>
  </x:si>
  <x:si>
    <x:t xml:space="preserve">2. US estate tax — Table A unified rate schedule (IRC §2001(c))</x:t>
  </x:si>
  <x:si>
    <x:t xml:space="preserve">Bracket lower</x:t>
  </x:si>
  <x:si>
    <x:t xml:space="preserve">Bracket upper</x:t>
  </x:si>
  <x:si>
    <x:t xml:space="preserve">Base tax at lower bound</x:t>
  </x:si>
  <x:si>
    <x:t xml:space="preserve">Marginal rate on excess</x:t>
  </x:si>
  <x:si>
    <x:t xml:space="preserve">Unified credit (nonresident alien)</x:t>
  </x:si>
  <x:si>
    <x:t xml:space="preserve">Change the yellow cell (B30) to any US-situs estate value; the bracket lookup, tentative tax, and net tax below all recalculate via MATCH/INDEX against the Table A schedule above.</x:t>
  </x:si>
  <x:si>
    <x:t xml:space="preserve">US-situs gross estate to evaluate</x:t>
  </x:si>
  <x:si>
    <x:t xml:space="preserve">Bracket found (MATCH)</x:t>
  </x:si>
  <x:si>
    <x:t xml:space="preserve">Base tax at that bracket</x:t>
  </x:si>
  <x:si>
    <x:t xml:space="preserve">Rate on excess</x:t>
  </x:si>
  <x:si>
    <x:t xml:space="preserve">Bracket lower bound</x:t>
  </x:si>
  <x:si>
    <x:t xml:space="preserve">Tentative tax (Table A)</x:t>
  </x:si>
  <x:si>
    <x:t xml:space="preserve">Less: unified credit</x:t>
  </x:si>
  <x:si>
    <x:t xml:space="preserve">Net US estate tax</x:t>
  </x:si>
  <x:si>
    <x:t xml:space="preserve">Form 706-NA filing required?</x:t>
  </x:si>
  <x:si>
    <x:t xml:space="preserve">Part 2 — Two-Asset Diversification Mathematics (Equation 2.1)</x:t>
  </x:si>
  <x:si>
    <x:t xml:space="preserve">Equity weight (w1)</x:t>
  </x:si>
  <x:si>
    <x:t xml:space="preserve">Bond weight (w2, = 1-w1)</x:t>
  </x:si>
  <x:si>
    <x:t xml:space="preserve">Equity volatility (sigma1)</x:t>
  </x:si>
  <x:si>
    <x:t xml:space="preserve">Bond volatility (sigma2)</x:t>
  </x:si>
  <x:si>
    <x:t xml:space="preserve">Correlation (rho)</x:t>
  </x:si>
  <x:si>
    <x:t xml:space="preserve">Portfolio variance</x:t>
  </x:si>
  <x:si>
    <x:t xml:space="preserve">Portfolio standard deviation</x:t>
  </x:si>
  <x:si>
    <x:t xml:space="preserve">Naive linear-weighted SD</x:t>
  </x:si>
  <x:si>
    <x:t xml:space="preserve">Diversification benefit</x:t>
  </x:si>
  <x:si>
    <x:t xml:space="preserve">Sensitivity to the correlation assumption (weights and vols fixed at rows 3-6)</x:t>
  </x:si>
  <x:si>
    <x:t xml:space="preserve">Portfolio SD</x:t>
  </x:si>
  <x:si>
    <x:t xml:space="preserve">Naive linear blend</x:t>
  </x:si>
  <x:si>
    <x:t xml:space="preserve">Three-asset variance (Appendix 2, A2.3): equity core, bond core, sector satellite</x:t>
  </x:si>
  <x:si>
    <x:t xml:space="preserve">Asset</x:t>
  </x:si>
  <x:si>
    <x:t xml:space="preserve">Weight</x:t>
  </x:si>
  <x:si>
    <x:t xml:space="preserve">Volatility</x:t>
  </x:si>
  <x:si>
    <x:t xml:space="preserve">Equity core (eq)</x:t>
  </x:si>
  <x:si>
    <x:t xml:space="preserve">Bond core (bd)</x:t>
  </x:si>
  <x:si>
    <x:t xml:space="preserve">Sector satellite (sat)</x:t>
  </x:si>
  <x:si>
    <x:t xml:space="preserve">Correlation eq-bd</x:t>
  </x:si>
  <x:si>
    <x:t xml:space="preserve">Correlation eq-sat</x:t>
  </x:si>
  <x:si>
    <x:t xml:space="preserve">Correlation bd-sat</x:t>
  </x:si>
  <x:si>
    <x:t xml:space="preserve">Three-asset portfolio variance</x:t>
  </x:si>
  <x:si>
    <x:t xml:space="preserve">Three-asset portfolio SD</x:t>
  </x:si>
  <x:si>
    <x:t xml:space="preserve">Part 2 — Blended Expense Ratio of a Core-Satellite Portfolio</x:t>
  </x:si>
  <x:si>
    <x:t xml:space="preserve">Total portfolio value ($)</x:t>
  </x:si>
  <x:si>
    <x:t xml:space="preserve">Sleeve</x:t>
  </x:si>
  <x:si>
    <x:t xml:space="preserve">$ Value</x:t>
  </x:si>
  <x:si>
    <x:t xml:space="preserve">Weighted contribution to blended ER</x:t>
  </x:si>
  <x:si>
    <x:t xml:space="preserve">SPYM (S&amp;P 500 core)</x:t>
  </x:si>
  <x:si>
    <x:t xml:space="preserve">AGG (US aggregate bond core)</x:t>
  </x:si>
  <x:si>
    <x:t xml:space="preserve">QQQM (Nasdaq-100, core-plus growth tilt)</x:t>
  </x:si>
  <x:si>
    <x:t xml:space="preserve">Dividend-quality satellite (e.g., SCHD)</x:t>
  </x:si>
  <x:si>
    <x:t xml:space="preserve">Sector satellite (e.g., semiconductors)</x:t>
  </x:si>
  <x:si>
    <x:t xml:space="preserve">Total</x:t>
  </x:si>
  <x:si>
    <x:t xml:space="preserve">Annual dollar cost of the blended ER</x:t>
  </x:si>
  <x:si>
    <x:t xml:space="preserve">Two risk-posture variants</x:t>
  </x:si>
  <x:si>
    <x:t xml:space="preserve">Conservative weight</x:t>
  </x:si>
  <x:si>
    <x:t xml:space="preserve">Growth-oriented weight</x:t>
  </x:si>
  <x:si>
    <x:t xml:space="preserve">AGG (bond core)</x:t>
  </x:si>
  <x:si>
    <x:t xml:space="preserve">QQQM (growth tilt)</x:t>
  </x:si>
  <x:si>
    <x:t xml:space="preserve">Dividend-quality satellite</x:t>
  </x:si>
  <x:si>
    <x:t xml:space="preserve">Sector satellite</x:t>
  </x:si>
  <x:si>
    <x:t xml:space="preserve">Blended ER (using expense ratios from the table above)</x:t>
  </x:si>
  <x:si>
    <x:t xml:space="preserve">Part 3 — Herfindahl-Hirschman Index and Effective-N Calculator</x:t>
  </x:si>
  <x:si>
    <x:t xml:space="preserve">Paste up to 30 holding weights (as decimals, e.g. 0.08 for 8%) into column B. Unused rows can be left at 0%.</x:t>
  </x:si>
  <x:si>
    <x:t xml:space="preserve">#</x:t>
  </x:si>
  <x:si>
    <x:t xml:space="preserve">This sheet ships pre-loaded with a pure equal-weight, 30-holding example (effective N should equal 30.0). Overwrite column B with any fund's actual published weights to check its real concentration.</x:t>
  </x:si>
  <x:si>
    <x:t xml:space="preserve">Sum of weights (should be 100%)</x:t>
  </x:si>
  <x:si>
    <x:t xml:space="preserve">HHI (=SUMSQ of weights)</x:t>
  </x:si>
  <x:si>
    <x:t xml:space="preserve">Effective N (=1/HHI)</x:t>
  </x:si>
  <x:si>
    <x:t xml:space="preserve">Nominal count of nonzero holdings</x:t>
  </x:si>
  <x:si>
    <x:t xml:space="preserve">Reference: equal-weight effective N at different nominal N (Appendix 3, A3.1)</x:t>
  </x:si>
  <x:si>
    <x:t xml:space="preserve">Nominal N</x:t>
  </x:si>
  <x:si>
    <x:t xml:space="preserve">HHI (=1/N)</x:t>
  </x:si>
  <x:si>
    <x:t xml:space="preserve">Effective N (=N)</x:t>
  </x:si>
  <x:si>
    <x:t xml:space="preserve">Reference: effect of one dominant holding in an otherwise-equal 30-name fund (Appendix 3, A3.2)</x:t>
  </x:si>
  <x:si>
    <x:t xml:space="preserve">Top holding weight</x:t>
  </x:si>
  <x:si>
    <x:t xml:space="preserve">Each remaining holding</x:t>
  </x:si>
  <x:si>
    <x:t xml:space="preserve">HHI</x:t>
  </x:si>
  <x:si>
    <x:t xml:space="preserve">Effective N</x:t>
  </x:si>
  <x:si>
    <x:t xml:space="preserve">Part 4 — Four-Asset Portfolio Variance (Equation 4.1: sigma_p^2 = w'.Sigma.w)</x:t>
  </x:si>
  <x:si>
    <x:t xml:space="preserve">Weights</x:t>
  </x:si>
  <x:si>
    <x:t xml:space="preserve">SPYM</x:t>
  </x:si>
  <x:si>
    <x:t xml:space="preserve">AGG</x:t>
  </x:si>
  <x:si>
    <x:t xml:space="preserve">QQQM</x:t>
  </x:si>
  <x:si>
    <x:t xml:space="preserve">Satellite blend</x:t>
  </x:si>
  <x:si>
    <x:t xml:space="preserve">Volatilities (annualized)</x:t>
  </x:si>
  <x:si>
    <x:t xml:space="preserve">Correlation matrix</x:t>
  </x:si>
  <x:si>
    <x:t xml:space="preserve">Covariance matrix (=vol_i * vol_j * rho_ij)</x:t>
  </x:si>
  <x:si>
    <x:t xml:space="preserve">Portfolio variance (full double-sum expansion of w'.Sigma.w)</x:t>
  </x:si>
  <x:si>
    <x:t xml:space="preserve">The formula in B26 is the full 16-term double sum (4x4) behind Equation 4.1 — algebraically identical to the compact w'.Sigma.w matrix notation used in the article.</x:t>
  </x:si>
  <x:si>
    <x:t xml:space="preserve">Part 4 — Options Wheel: Cash-Secured Put + Covered Call Cycle</x:t>
  </x:si>
  <x:si>
    <x:t xml:space="preserve">Stage 1: Cash-secured put</x:t>
  </x:si>
  <x:si>
    <x:t xml:space="preserve">Current stock price</x:t>
  </x:si>
  <x:si>
    <x:t xml:space="preserve">Put strike</x:t>
  </x:si>
  <x:si>
    <x:t xml:space="preserve">Put premium (per share)</x:t>
  </x:si>
  <x:si>
    <x:t xml:space="preserve">Contracts</x:t>
  </x:si>
  <x:si>
    <x:t xml:space="preserve">Collateral required (strike x 100 x contracts)</x:t>
  </x:si>
  <x:si>
    <x:t xml:space="preserve">Premium collected (premium x 100 x contracts)</x:t>
  </x:si>
  <x:si>
    <x:t xml:space="preserve">Breakeven if assigned (strike - premium)</x:t>
  </x:si>
  <x:si>
    <x:t xml:space="preserve">Return on collateral if put expires worthless</x:t>
  </x:si>
  <x:si>
    <x:t xml:space="preserve">Naive annualized (x12, no compounding, illustrative only)</x:t>
  </x:si>
  <x:si>
    <x:t xml:space="preserve">Stage 2: If assigned -&gt; covered call</x:t>
  </x:si>
  <x:si>
    <x:t xml:space="preserve">Effective cost basis after assignment (=B11)</x:t>
  </x:si>
  <x:si>
    <x:t xml:space="preserve">Covered call strike</x:t>
  </x:si>
  <x:si>
    <x:t xml:space="preserve">Covered call premium (per share)</x:t>
  </x:si>
  <x:si>
    <x:t xml:space="preserve">Effective sale price if called away (strike+premium)</x:t>
  </x:si>
  <x:si>
    <x:t xml:space="preserve">Combined gain per share across full cycle</x:t>
  </x:si>
  <x:si>
    <x:t xml:space="preserve">Combined gain, 100 shares</x:t>
  </x:si>
  <x:si>
    <x:t xml:space="preserve">Total return on effective basis across the cycle</x:t>
  </x:si>
  <x:si>
    <x:t xml:space="preserve">Adverse scenario: stock falls after assignment</x:t>
  </x:si>
  <x:si>
    <x:t xml:space="preserve">Illustrative crash price</x:t>
  </x:si>
  <x:si>
    <x:t xml:space="preserve">Unrealized loss per share vs. effective basis</x:t>
  </x:si>
  <x:si>
    <x:t xml:space="preserve">Unrealized loss, 100 shares</x:t>
  </x:si>
  <x:si>
    <x:t xml:space="preserve">Premium income collected so far (Stage 1 only)</x:t>
  </x:si>
  <x:si>
    <x:t xml:space="preserve">Net position (premium less unrealized loss)</x:t>
  </x:si>
  <x:si>
    <x:t xml:space="preserve">Sensitivity: yield at different strike selections (Appendix 4, A4.2)</x:t>
  </x:si>
  <x:si>
    <x:t xml:space="preserve">Strike</x:t>
  </x:si>
  <x:si>
    <x:t xml:space="preserve">Premium (per share)</x:t>
  </x:si>
  <x:si>
    <x:t xml:space="preserve">Period yield on collateral</x:t>
  </x:si>
  <x:si>
    <x:t xml:space="preserve">Part 4 — Dividend, Wash-Sale, and Capital-Gains Tax Calculators</x:t>
  </x:si>
  <x:si>
    <x:t xml:space="preserve">1. Qualified vs. non-qualified dividend</x:t>
  </x:si>
  <x:si>
    <x:t xml:space="preserve">Dividend payout</x:t>
  </x:si>
  <x:si>
    <x:t xml:space="preserve">Qualified (LTCG) rate</x:t>
  </x:si>
  <x:si>
    <x:t xml:space="preserve">Ordinary marginal rate</x:t>
  </x:si>
  <x:si>
    <x:t xml:space="preserve">Tax if qualified</x:t>
  </x:si>
  <x:si>
    <x:t xml:space="preserve">Tax if non-qualified</x:t>
  </x:si>
  <x:si>
    <x:t xml:space="preserve">Net if qualified</x:t>
  </x:si>
  <x:si>
    <x:t xml:space="preserve">Net if non-qualified</x:t>
  </x:si>
  <x:si>
    <x:t xml:space="preserve">Difference</x:t>
  </x:si>
  <x:si>
    <x:t xml:space="preserve">2. Wash-sale rule</x:t>
  </x:si>
  <x:si>
    <x:t xml:space="preserve">Shares</x:t>
  </x:si>
  <x:si>
    <x:t xml:space="preserve">Buy price</x:t>
  </x:si>
  <x:si>
    <x:t xml:space="preserve">Sell price (at a loss)</x:t>
  </x:si>
  <x:si>
    <x:t xml:space="preserve">Realized loss</x:t>
  </x:si>
  <x:si>
    <x:t xml:space="preserve">Repurchase price (within 30 days)</x:t>
  </x:si>
  <x:si>
    <x:t xml:space="preserve">Shares repurchased within the window</x:t>
  </x:si>
  <x:si>
    <x:t xml:space="preserve">Disallowed portion of the loss</x:t>
  </x:si>
  <x:si>
    <x:t xml:space="preserve">Allowed loss this year (not repurchased)</x:t>
  </x:si>
  <x:si>
    <x:t xml:space="preserve">New position cost (repurchase price x shares)</x:t>
  </x:si>
  <x:si>
    <x:t xml:space="preserve">New basis after adding disallowed loss</x:t>
  </x:si>
  <x:si>
    <x:t xml:space="preserve">New basis per share</x:t>
  </x:si>
  <x:si>
    <x:t xml:space="preserve">3. 2026 long-term capital-gains bracket calculator (single filer, Rev. Proc. 2025-32)</x:t>
  </x:si>
  <x:si>
    <x:t xml:space="preserve">Ordinary taxable income</x:t>
  </x:si>
  <x:si>
    <x:t xml:space="preserve">Change the two yellow cells (ordinary income, gain). The bracket math correctly handles a gain that straddles more than one bracket, stacking it on top of ordinary income.</x:t>
  </x:si>
  <x:si>
    <x:t xml:space="preserve">Long-term capital gain</x:t>
  </x:si>
  <x:si>
    <x:t xml:space="preserve">0% bracket ceiling</x:t>
  </x:si>
  <x:si>
    <x:t xml:space="preserve">15% bracket ceiling</x:t>
  </x:si>
  <x:si>
    <x:t xml:space="preserve">Total income (ordinary + gain)</x:t>
  </x:si>
  <x:si>
    <x:t xml:space="preserve">Amount taxed at 0%</x:t>
  </x:si>
  <x:si>
    <x:t xml:space="preserve">Amount taxed at 15%</x:t>
  </x:si>
  <x:si>
    <x:t xml:space="preserve">Amount taxed at 20%</x:t>
  </x:si>
  <x:si>
    <x:t xml:space="preserve">LTCG tax owed</x:t>
  </x:si>
  <x:si>
    <x:t xml:space="preserve">Effective rate on the gain</x:t>
  </x:si>
  <x:si>
    <x:t xml:space="preserve">Part 5 — One-Year Drift and the Rebalancing Trade</x:t>
  </x:si>
  <x:si>
    <x:t xml:space="preserve">Portfolio total ($)</x:t>
  </x:si>
  <x:si>
    <x:t xml:space="preserve">Starting weight</x:t>
  </x:si>
  <x:si>
    <x:t xml:space="preserve">Illustrative 1yr return</x:t>
  </x:si>
  <x:si>
    <x:t xml:space="preserve">Starting value</x:t>
  </x:si>
  <x:si>
    <x:t xml:space="preserve">Ending value (before rebalancing)</x:t>
  </x:si>
  <x:si>
    <x:t xml:space="preserve">Ending weight</x:t>
  </x:si>
  <x:si>
    <x:t xml:space="preserve">SPYM (equity core)</x:t>
  </x:si>
  <x:si>
    <x:t xml:space="preserve">Rebalancing trade to restore target weights</x:t>
  </x:si>
  <x:si>
    <x:t xml:space="preserve">Current value</x:t>
  </x:si>
  <x:si>
    <x:t xml:space="preserve">Target weight</x:t>
  </x:si>
  <x:si>
    <x:t xml:space="preserve">Target value</x:t>
  </x:si>
  <x:si>
    <x:t xml:space="preserve">Trade</x:t>
  </x:si>
  <x:si>
    <x:t xml:space="preserve">Action</x:t>
  </x:si>
  <x:si>
    <x:t xml:space="preserve">Net (should be $0 -- a rebalance moves money between sleeves, not in or out)</x:t>
  </x:si>
  <x:si>
    <x:t xml:space="preserve">Part 5 — Lump Sum vs. Dollar-Cost Averaging, Two Illustrative Paths</x:t>
  </x:si>
  <x:si>
    <x:t xml:space="preserve">Lump sum amount</x:t>
  </x:si>
  <x:si>
    <x:t xml:space="preserve">Monthly DCA x 12 months = lump sum, so the two are directly comparable.</x:t>
  </x:si>
  <x:si>
    <x:t xml:space="preserve">Monthly DCA contribution</x:t>
  </x:si>
  <x:si>
    <x:t xml:space="preserve">Month</x:t>
  </x:si>
  <x:si>
    <x:t xml:space="preserve">Steady-rise monthly return</x:t>
  </x:si>
  <x:si>
    <x:t xml:space="preserve">Dip-then-recover monthly return</x:t>
  </x:si>
  <x:si>
    <x:t xml:space="preserve">Lump-sum ending value (steady-rise path)</x:t>
  </x:si>
  <x:si>
    <x:t xml:space="preserve">Lump-sum ending value (dip-then-recover path)</x:t>
  </x:si>
  <x:si>
    <x:t xml:space="preserve">DCA month-by-month balance</x:t>
  </x:si>
  <x:si>
    <x:t xml:space="preserve">Steady-rise balance</x:t>
  </x:si>
  <x:si>
    <x:t xml:space="preserve">Dip-then-recover balance</x:t>
  </x:si>
  <x:si>
    <x:t xml:space="preserve">Summary</x:t>
  </x:si>
  <x:si>
    <x:t xml:space="preserve">Scenario</x:t>
  </x:si>
  <x:si>
    <x:t xml:space="preserve">Lump sum ending value</x:t>
  </x:si>
  <x:si>
    <x:t xml:space="preserve">DCA ending value</x:t>
  </x:si>
  <x:si>
    <x:t xml:space="preserve">Lump-sum advantage</x:t>
  </x:si>
  <x:si>
    <x:t xml:space="preserve">Steady rise</x:t>
  </x:si>
  <x:si>
    <x:t xml:space="preserve">Dip then recover</x:t>
  </x:si>
  <x:si>
    <x:t xml:space="preserve">Part 5 — Sequence-of-Returns Risk: Same Average Return, Different Order</x:t>
  </x:si>
  <x:si>
    <x:t xml:space="preserve">Fixed annual withdrawal (not inflation-adjusted, to isolate the sequencing effect)</x:t>
  </x:si>
  <x:si>
    <x:t xml:space="preserve">Year</x:t>
  </x:si>
  <x:si>
    <x:t xml:space="preserve">Retiree A return (bad years first)</x:t>
  </x:si>
  <x:si>
    <x:t xml:space="preserve">Retiree A value</x:t>
  </x:si>
  <x:si>
    <x:t xml:space="preserve">Retiree B return (bad years last)</x:t>
  </x:si>
  <x:si>
    <x:t xml:space="preserve">Retiree B value</x:t>
  </x:si>
  <x:si>
    <x:t xml:space="preserve">Average annual return, both retirees (identical by construction)</x:t>
  </x:si>
  <x:si>
    <x:t xml:space="preserve">Ending value, Retiree A (bad years first)</x:t>
  </x:si>
  <x:si>
    <x:t xml:space="preserve">Ending value, Retiree B (bad years last)</x:t>
  </x:si>
  <x:si>
    <x:t xml:space="preserve">Gap purely from the timing of identical shock years</x:t>
  </x:si>
  <x:si>
    <x:t xml:space="preserve">Both retirees experience the identical set of ten annual returns (two -20%/-15% shock years plus eight positive years); only the ORDER differs. Equation 5.1 (Vt = Vt-1 x (1+rt) - W) is applied identically each year -- the divergent outcome comes entirely from where the shock years fall in that sequence, not from any difference in average performance.</x:t>
  </x:si>
  <x:si>
    <x:t xml:space="preserve">Part 5 — Full Case Study: Ten-Year Accumulation Projection</x:t>
  </x:si>
  <x:si>
    <x:t xml:space="preserve">Starting balance</x:t>
  </x:si>
  <x:si>
    <x:t xml:space="preserve">Monthly contribution</x:t>
  </x:si>
  <x:si>
    <x:t xml:space="preserve">Balance</x:t>
  </x:si>
  <x:si>
    <x:t xml:space="preserve">Cumulative contributions</x:t>
  </x:si>
  <x:si>
    <x:t xml:space="preserve">Year-end summary</x:t>
  </x:si>
  <x:si>
    <x:t xml:space="preserve">End of year</x:t>
  </x:si>
  <x:si>
    <x:t xml:space="preserve">Projected balance</x:t>
  </x:si>
  <x:si>
    <x:t xml:space="preserve">Growth from returns</x:t>
  </x:si>
  <x:si>
    <x:t xml:space="preserve">Approx. annual cost of ownership in year 10 (balance x blended ER)</x:t>
  </x:si>
  <x:si>
    <x:t xml:space="preserve">Rows 10-129 (hidden detail) run the month-by-month compounding formula (Equation 5.3) for all 120 months; the year-end summary above pulls the balance at the end of each 12th month. Change the starting balance, monthly contribution, or return assumption in B3:B5 and every downstream figure recalculates, including the blended-ER figure pulled live from the 'P2 - Blended ER' worksheet.</x:t>
  </x:si>
</x:sst>
</file>

<file path=xl/styles.xml><?xml version="1.0" encoding="utf-8"?>
<x:styleSheet xmlns:x="http://schemas.openxmlformats.org/spreadsheetml/2006/main">
  <x:numFmts count="10">
    <x:numFmt numFmtId="164" formatCode="General"/>
    <x:numFmt numFmtId="165" formatCode="\$#,##0;&quot;($&quot;#,##0\)"/>
    <x:numFmt numFmtId="166" formatCode="0.0%"/>
    <x:numFmt numFmtId="167" formatCode="0.000%"/>
    <x:numFmt numFmtId="168" formatCode="\$#,##0.00;&quot;($&quot;#,##0.00\)"/>
    <x:numFmt numFmtId="169" formatCode="0.00000"/>
    <x:numFmt numFmtId="170" formatCode="0.00%"/>
    <x:numFmt numFmtId="171" formatCode="0.0000"/>
    <x:numFmt numFmtId="172" formatCode="0.0"/>
    <x:numFmt numFmtId="173" formatCode="0.0000%"/>
  </x:numFmts>
  <x:fonts count="12">
    <x:font>
      <x:sz val="11"/>
      <x:color theme="1"/>
      <x:name val="Calibri"/>
    </x:font>
    <x:font>
      <x:sz val="10"/>
      <x:name val="Arial"/>
    </x:font>
    <x:font>
      <x:sz val="10"/>
      <x:name val="Arial"/>
    </x:font>
    <x:font>
      <x:sz val="10"/>
      <x:name val="Arial"/>
    </x:font>
    <x:font>
      <x:b/>
      <x:sz val="14"/>
      <x:color rgb="FF000000"/>
      <x:name val="Arial"/>
    </x:font>
    <x:font>
      <x:i/>
      <x:sz val="11"/>
      <x:name val="Arial"/>
    </x:font>
    <x:font>
      <x:b/>
      <x:sz val="11"/>
      <x:color rgb="FF000000"/>
      <x:name val="Arial"/>
    </x:font>
    <x:font>
      <x:sz val="11"/>
      <x:color rgb="FF0000FF"/>
      <x:name val="Arial"/>
    </x:font>
    <x:font>
      <x:sz val="11"/>
      <x:color rgb="FF008000"/>
      <x:name val="Arial"/>
    </x:font>
    <x:font>
      <x:sz val="11"/>
      <x:color rgb="FF000000"/>
      <x:name val="Arial"/>
    </x:font>
    <x:font>
      <x:i/>
      <x:sz val="9"/>
      <x:color rgb="FF595959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FFFF00"/>
      </x:patternFill>
    </x:fill>
    <x:fill>
      <x:patternFill patternType="solid">
        <x:fgColor rgb="FF305496"/>
      </x:patternFill>
    </x:fill>
  </x:fills>
  <x:borders count="2">
    <x:border diagonalUp="0" diagonalDown="0"/>
    <x:border diagonalUp="0" diagonalDown="0">
      <x:left style="thin">
        <x:color rgb="FFB7B7B7"/>
      </x:left>
      <x:right style="thin">
        <x:color rgb="FFB7B7B7"/>
      </x:right>
      <x:top style="thin">
        <x:color rgb="FFB7B7B7"/>
      </x:top>
      <x:bottom style="thin">
        <x:color rgb="FFB7B7B7"/>
      </x:bottom>
    </x:border>
  </x:borders>
  <x:cellStyleXfs count="20">
    <x:xf numFmtId="164" fontId="0" fillId="0" borderId="0" applyFont="1" applyBorder="1" applyAlignment="1" applyProtection="1">
      <x:alignment horizontal="general" vertical="bottom" wrapText="0" shrinkToFit="0"/>
      <x:protection locked="1" hidden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</x:cellStyleXfs>
  <x:cellXfs count="56">
    <x:xf numFmtId="164" fontId="0" fillId="0" borderId="0" xfId="0" applyFont="0" applyBorder="0" applyAlignment="0">
      <x:alignment horizontal="general" vertical="bottom" wrapText="0"/>
    </x:xf>
    <x:xf numFmtId="164" fontId="0" fillId="0" borderId="0" xfId="0" applyFont="0" applyBorder="0" applyAlignment="1">
      <x:alignment horizontal="general" vertical="bottom" wrapText="0"/>
    </x:xf>
    <x:xf numFmtId="164" fontId="4" fillId="0" borderId="0" xfId="0" applyFont="1" applyBorder="1" applyAlignment="1">
      <x:alignment horizontal="general" vertical="bottom" wrapText="0"/>
    </x:xf>
    <x:xf numFmtId="164" fontId="5" fillId="0" borderId="0" xfId="0" applyFont="1" applyBorder="0" applyAlignment="1">
      <x:alignment horizontal="general" vertical="bottom" wrapText="0"/>
    </x:xf>
    <x:xf numFmtId="164" fontId="6" fillId="0" borderId="0" xfId="0" applyFont="1" applyBorder="0" applyAlignment="1">
      <x:alignment horizontal="general" vertical="bottom" wrapText="0"/>
    </x:xf>
    <x:xf numFmtId="164" fontId="7" fillId="0" borderId="0" xfId="0" applyFont="1" applyBorder="0" applyAlignment="1">
      <x:alignment horizontal="general" vertical="bottom" wrapText="0"/>
    </x:xf>
    <x:xf numFmtId="164" fontId="0" fillId="0" borderId="0" xfId="0" applyFont="1" applyBorder="0" applyAlignment="1">
      <x:alignment horizontal="general" vertical="bottom" wrapText="0"/>
    </x:xf>
    <x:xf numFmtId="164" fontId="8" fillId="0" borderId="0" xfId="0" applyFont="1" applyBorder="0" applyAlignment="1">
      <x:alignment horizontal="general" vertical="bottom" wrapText="0"/>
    </x:xf>
    <x:xf numFmtId="164" fontId="0" fillId="2" borderId="0" xfId="0" applyFont="1" applyBorder="0" applyAlignment="1">
      <x:alignment horizontal="general" vertical="bottom" wrapText="0"/>
    </x:xf>
    <x:xf numFmtId="164" fontId="9" fillId="0" borderId="0" xfId="0" applyFont="1" applyBorder="0" applyAlignment="1">
      <x:alignment horizontal="general" vertical="bottom" wrapText="1"/>
    </x:xf>
    <x:xf numFmtId="164" fontId="10" fillId="0" borderId="0" xfId="0" applyFont="1" applyBorder="1" applyAlignment="1">
      <x:alignment horizontal="general" vertical="top" wrapText="1"/>
    </x:xf>
    <x:xf numFmtId="164" fontId="9" fillId="0" borderId="0" xfId="0" applyFont="1" applyBorder="0" applyAlignment="1">
      <x:alignment horizontal="general" vertical="bottom" wrapText="0"/>
    </x:xf>
    <x:xf numFmtId="165" fontId="7" fillId="0" borderId="0" xfId="0" applyFont="1" applyBorder="0" applyAlignment="1">
      <x:alignment horizontal="general" vertical="bottom" wrapText="0"/>
    </x:xf>
    <x:xf numFmtId="166" fontId="7" fillId="0" borderId="0" xfId="0" applyFont="1" applyBorder="0" applyAlignment="1">
      <x:alignment horizontal="general" vertical="bottom" wrapText="0"/>
    </x:xf>
    <x:xf numFmtId="164" fontId="11" fillId="3" borderId="1" xfId="0" applyFont="1" applyBorder="1" applyAlignment="1">
      <x:alignment horizontal="center" vertical="bottom" wrapText="1"/>
    </x:xf>
    <x:xf numFmtId="164" fontId="9" fillId="0" borderId="1" xfId="0" applyFont="1" applyBorder="1" applyAlignment="1">
      <x:alignment horizontal="general" vertical="bottom" wrapText="0"/>
    </x:xf>
    <x:xf numFmtId="167" fontId="7" fillId="0" borderId="1" xfId="0" applyFont="1" applyBorder="1" applyAlignment="1">
      <x:alignment horizontal="general" vertical="bottom" wrapText="0"/>
    </x:xf>
    <x:xf numFmtId="167" fontId="9" fillId="0" borderId="1" xfId="0" applyFont="1" applyBorder="1" applyAlignment="1">
      <x:alignment horizontal="general" vertical="bottom" wrapText="0"/>
    </x:xf>
    <x:xf numFmtId="168" fontId="9" fillId="0" borderId="1" xfId="0" applyFont="1" applyBorder="1" applyAlignment="1">
      <x:alignment horizontal="general" vertical="bottom" wrapText="0"/>
    </x:xf>
    <x:xf numFmtId="164" fontId="6" fillId="0" borderId="0" xfId="0" applyFont="1" applyBorder="1" applyAlignment="1">
      <x:alignment horizontal="general" vertical="bottom" wrapText="0"/>
    </x:xf>
    <x:xf numFmtId="166" fontId="7" fillId="0" borderId="1" xfId="0" applyFont="1" applyBorder="1" applyAlignment="1">
      <x:alignment horizontal="general" vertical="bottom" wrapText="0"/>
    </x:xf>
    <x:xf numFmtId="166" fontId="9" fillId="0" borderId="1" xfId="0" applyFont="1" applyBorder="1" applyAlignment="1">
      <x:alignment horizontal="general" vertical="bottom" wrapText="0"/>
    </x:xf>
    <x:xf numFmtId="164" fontId="0" fillId="0" borderId="1" xfId="0" applyFont="0" applyBorder="1" applyAlignment="1">
      <x:alignment horizontal="general" vertical="bottom" wrapText="0"/>
    </x:xf>
    <x:xf numFmtId="165" fontId="7" fillId="0" borderId="1" xfId="0" applyFont="1" applyBorder="1" applyAlignment="1">
      <x:alignment horizontal="general" vertical="bottom" wrapText="0"/>
    </x:xf>
    <x:xf numFmtId="165" fontId="7" fillId="2" borderId="0" xfId="0" applyFont="1" applyBorder="0" applyAlignment="1">
      <x:alignment horizontal="general" vertical="bottom" wrapText="0"/>
    </x:xf>
    <x:xf numFmtId="168" fontId="9" fillId="0" borderId="0" xfId="0" applyFont="1" applyBorder="0" applyAlignment="1">
      <x:alignment horizontal="general" vertical="bottom" wrapText="0"/>
    </x:xf>
    <x:xf numFmtId="166" fontId="9" fillId="0" borderId="0" xfId="0" applyFont="1" applyBorder="0" applyAlignment="1">
      <x:alignment horizontal="general" vertical="bottom" wrapText="0"/>
    </x:xf>
    <x:xf numFmtId="165" fontId="9" fillId="0" borderId="0" xfId="0" applyFont="1" applyBorder="0" applyAlignment="1">
      <x:alignment horizontal="general" vertical="bottom" wrapText="0"/>
    </x:xf>
    <x:xf numFmtId="168" fontId="6" fillId="0" borderId="0" xfId="0" applyFont="1" applyBorder="0" applyAlignment="1">
      <x:alignment horizontal="general" vertical="bottom" wrapText="0"/>
    </x:xf>
    <x:xf numFmtId="169" fontId="9" fillId="0" borderId="1" xfId="0" applyFont="1" applyBorder="1" applyAlignment="1">
      <x:alignment horizontal="general" vertical="bottom" wrapText="0"/>
    </x:xf>
    <x:xf numFmtId="170" fontId="6" fillId="0" borderId="1" xfId="0" applyFont="1" applyBorder="1" applyAlignment="1">
      <x:alignment horizontal="general" vertical="bottom" wrapText="0"/>
    </x:xf>
    <x:xf numFmtId="170" fontId="9" fillId="0" borderId="1" xfId="0" applyFont="1" applyBorder="1" applyAlignment="1">
      <x:alignment horizontal="general" vertical="bottom" wrapText="0"/>
    </x:xf>
    <x:xf numFmtId="169" fontId="9" fillId="0" borderId="0" xfId="0" applyFont="1" applyBorder="0" applyAlignment="1">
      <x:alignment horizontal="general" vertical="bottom" wrapText="0"/>
    </x:xf>
    <x:xf numFmtId="170" fontId="6" fillId="0" borderId="0" xfId="0" applyFont="1" applyBorder="0" applyAlignment="1">
      <x:alignment horizontal="general" vertical="bottom" wrapText="0"/>
    </x:xf>
    <x:xf numFmtId="170" fontId="9" fillId="0" borderId="0" xfId="0" applyFont="1" applyBorder="0" applyAlignment="1">
      <x:alignment horizontal="general" vertical="bottom" wrapText="0"/>
    </x:xf>
    <x:xf numFmtId="164" fontId="6" fillId="0" borderId="1" xfId="0" applyFont="1" applyBorder="1" applyAlignment="1">
      <x:alignment horizontal="general" vertical="bottom" wrapText="0"/>
    </x:xf>
    <x:xf numFmtId="166" fontId="6" fillId="0" borderId="1" xfId="0" applyFont="1" applyBorder="1" applyAlignment="1">
      <x:alignment horizontal="general" vertical="bottom" wrapText="0"/>
    </x:xf>
    <x:xf numFmtId="168" fontId="6" fillId="0" borderId="1" xfId="0" applyFont="1" applyBorder="1" applyAlignment="1">
      <x:alignment horizontal="general" vertical="bottom" wrapText="0"/>
    </x:xf>
    <x:xf numFmtId="167" fontId="6" fillId="0" borderId="1" xfId="0" applyFont="1" applyBorder="1" applyAlignment="1">
      <x:alignment horizontal="general" vertical="bottom" wrapText="0"/>
    </x:xf>
    <x:xf numFmtId="167" fontId="6" fillId="0" borderId="0" xfId="0" applyFont="1" applyBorder="0" applyAlignment="1">
      <x:alignment horizontal="general" vertical="bottom" wrapText="0"/>
    </x:xf>
    <x:xf numFmtId="164" fontId="10" fillId="3" borderId="1" xfId="0" applyFont="1" applyBorder="1" applyAlignment="1">
      <x:alignment horizontal="general" vertical="top" wrapText="1"/>
    </x:xf>
    <x:xf numFmtId="171" fontId="6" fillId="0" borderId="0" xfId="0" applyFont="1" applyBorder="0" applyAlignment="1">
      <x:alignment horizontal="general" vertical="bottom" wrapText="0"/>
    </x:xf>
    <x:xf numFmtId="172" fontId="6" fillId="0" borderId="0" xfId="0" applyFont="1" applyBorder="0" applyAlignment="1">
      <x:alignment horizontal="general" vertical="bottom" wrapText="0"/>
    </x:xf>
    <x:xf numFmtId="164" fontId="7" fillId="0" borderId="1" xfId="0" applyFont="1" applyBorder="1" applyAlignment="1">
      <x:alignment horizontal="general" vertical="bottom" wrapText="0"/>
    </x:xf>
    <x:xf numFmtId="172" fontId="9" fillId="0" borderId="1" xfId="0" applyFont="1" applyBorder="1" applyAlignment="1">
      <x:alignment horizontal="general" vertical="bottom" wrapText="0"/>
    </x:xf>
    <x:xf numFmtId="171" fontId="9" fillId="0" borderId="1" xfId="0" applyFont="1" applyBorder="1" applyAlignment="1">
      <x:alignment horizontal="general" vertical="bottom" wrapText="0"/>
    </x:xf>
    <x:xf numFmtId="169" fontId="6" fillId="0" borderId="0" xfId="0" applyFont="1" applyBorder="0" applyAlignment="1">
      <x:alignment horizontal="general" vertical="bottom" wrapText="0"/>
    </x:xf>
    <x:xf numFmtId="168" fontId="7" fillId="0" borderId="1" xfId="0" applyFont="1" applyBorder="1" applyAlignment="1">
      <x:alignment horizontal="general" vertical="bottom" wrapText="0"/>
    </x:xf>
    <x:xf numFmtId="168" fontId="7" fillId="2" borderId="1" xfId="0" applyFont="1" applyBorder="1" applyAlignment="1">
      <x:alignment horizontal="general" vertical="bottom" wrapText="0"/>
    </x:xf>
    <x:xf numFmtId="165" fontId="7" fillId="2" borderId="1" xfId="0" applyFont="1" applyBorder="1" applyAlignment="1">
      <x:alignment horizontal="general" vertical="bottom" wrapText="0"/>
    </x:xf>
    <x:xf numFmtId="165" fontId="9" fillId="0" borderId="1" xfId="0" applyFont="1" applyBorder="1" applyAlignment="1">
      <x:alignment horizontal="general" vertical="bottom" wrapText="0"/>
    </x:xf>
    <x:xf numFmtId="168" fontId="8" fillId="0" borderId="1" xfId="0" applyFont="1" applyBorder="1" applyAlignment="1">
      <x:alignment horizontal="general" vertical="bottom" wrapText="0"/>
    </x:xf>
    <x:xf numFmtId="166" fontId="8" fillId="0" borderId="1" xfId="0" applyFont="1" applyBorder="1" applyAlignment="1">
      <x:alignment horizontal="general" vertical="bottom" wrapText="0"/>
    </x:xf>
    <x:xf numFmtId="164" fontId="0" fillId="0" borderId="0" xfId="0" applyFont="1" applyBorder="1" applyAlignment="1">
      <x:alignment horizontal="general" vertical="bottom" wrapText="0"/>
    </x:xf>
    <x:xf numFmtId="173" fontId="9" fillId="0" borderId="0" xfId="0" applyFont="1" applyBorder="0" applyAlignment="1">
      <x:alignment horizontal="general" vertical="bottom" wrapText="0"/>
    </x:xf>
    <x:xf numFmtId="167" fontId="8" fillId="0" borderId="0" xfId="0" applyFont="1" applyBorder="0" applyAlignment="1">
      <x:alignment horizontal="general" vertical="bottom" wrapText="0"/>
    </x:xf>
  </x:cellXfs>
  <x:cellStyles count="6">
    <x:cellStyle name="Normal" xfId="0"/>
    <x:cellStyle name="Comma" xfId="15"/>
    <x:cellStyle name="Comma [0]" xfId="16"/>
    <x:cellStyle name="Currency" xfId="17"/>
    <x:cellStyle name="Currency [0]" xfId="18"/>
    <x:cellStyle name="Percent" xfId="19"/>
  </x:cellStyle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8000"/>
      <x:rgbColor rgb="FF800080"/>
      <x:rgbColor rgb="FF008080"/>
      <x:rgbColor rgb="FFB7B7B7"/>
      <x:rgbColor rgb="FF808080"/>
      <x:rgbColor rgb="FF9999FF"/>
      <x:rgbColor rgb="FF993366"/>
      <x:rgbColor rgb="FFFFFFCC"/>
      <x:rgbColor rgb="FFCCFFFF"/>
      <x:rgbColor rgb="FF660066"/>
      <x:rgbColor rgb="FFFF8080"/>
      <x:rgbColor rgb="FF0066CC"/>
      <x:rgbColor rgb="FFCCCCFF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CCFFCC"/>
      <x:rgbColor rgb="FFFFFF99"/>
      <x:rgbColor rgb="FF99CCFF"/>
      <x:rgbColor rgb="FFFF99CC"/>
      <x:rgbColor rgb="FFCC99FF"/>
      <x:rgbColor rgb="FFFFCC99"/>
      <x:rgbColor rgb="FF3366FF"/>
      <x:rgbColor rgb="FF33CCCC"/>
      <x:rgbColor rgb="FF99CC00"/>
      <x:rgbColor rgb="FFFFCC00"/>
      <x:rgbColor rgb="FFFF9900"/>
      <x:rgbColor rgb="FFFF6600"/>
      <x:rgbColor rgb="FF595959"/>
      <x:rgbColor rgb="FF969696"/>
      <x:rgbColor rgb="FF003366"/>
      <x:rgbColor rgb="FF339966"/>
      <x:rgbColor rgb="FF003300"/>
      <x:rgbColor rgb="FF333300"/>
      <x:rgbColor rgb="FF993300"/>
      <x:rgbColor rgb="FF993366"/>
      <x:rgbColor rgb="FF305496"/>
      <x:rgbColor rgb="FF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d6b8ae945984210" /><Relationship Type="http://schemas.openxmlformats.org/officeDocument/2006/relationships/theme" Target="/xl/theme/theme1.xml" Id="Rb3d3868078c44510" /><Relationship Type="http://schemas.openxmlformats.org/officeDocument/2006/relationships/sharedStrings" Target="/xl/sharedStrings.xml" Id="Rbeaccd289ccb4a78" /><Relationship Type="http://schemas.openxmlformats.org/officeDocument/2006/relationships/worksheet" Target="/xl/worksheets/sheet1.xml" Id="R0a14714deb0e4882" /><Relationship Type="http://schemas.openxmlformats.org/officeDocument/2006/relationships/worksheet" Target="/xl/worksheets/sheet2.xml" Id="R0eda23e80b2b4c7f" /><Relationship Type="http://schemas.openxmlformats.org/officeDocument/2006/relationships/worksheet" Target="/xl/worksheets/sheet3.xml" Id="Re2701a38b38045db" /><Relationship Type="http://schemas.openxmlformats.org/officeDocument/2006/relationships/worksheet" Target="/xl/worksheets/sheet4.xml" Id="R9c6e3b93ec40435a" /><Relationship Type="http://schemas.openxmlformats.org/officeDocument/2006/relationships/worksheet" Target="/xl/worksheets/sheet5.xml" Id="R946ebf944a324f8f" /><Relationship Type="http://schemas.openxmlformats.org/officeDocument/2006/relationships/worksheet" Target="/xl/worksheets/sheet6.xml" Id="R9e820396e2684d5d" /><Relationship Type="http://schemas.openxmlformats.org/officeDocument/2006/relationships/worksheet" Target="/xl/worksheets/sheet7.xml" Id="R84497487b3c643ba" /><Relationship Type="http://schemas.openxmlformats.org/officeDocument/2006/relationships/worksheet" Target="/xl/worksheets/sheet8.xml" Id="R0c26497295854ee1" /><Relationship Type="http://schemas.openxmlformats.org/officeDocument/2006/relationships/worksheet" Target="/xl/worksheets/sheet9.xml" Id="Rcc8c5045d31149d7" /><Relationship Type="http://schemas.openxmlformats.org/officeDocument/2006/relationships/worksheet" Target="/xl/worksheets/sheet10.xml" Id="Ra6cd266b71d54921" /><Relationship Type="http://schemas.openxmlformats.org/officeDocument/2006/relationships/worksheet" Target="/xl/worksheets/sheet11.xml" Id="Rc0981abe752a41d0" /><Relationship Type="http://schemas.openxmlformats.org/officeDocument/2006/relationships/worksheet" Target="/xl/worksheets/sheet12.xml" Id="Rdae9384d51c9405e" /><Relationship Type="http://schemas.openxmlformats.org/officeDocument/2006/relationships/worksheet" Target="/xl/worksheets/sheet13.xml" Id="Re3f47b59043a4bee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38" style="1" hidden="0" customWidth="1"/>
    <x:col min="2" max="2" width="70" style="1" hidden="0" customWidth="1"/>
  </x:cols>
  <x:sheetData>
    <x:row r="1" ht="17.350000381469727" hidden="0">
      <x:c r="A1" s="2" t="s">
        <x:v>0</x:v>
      </x:c>
      <x:c r="B1" s="2"/>
      <x:c r="C1" s="2"/>
      <x:c r="D1" s="2"/>
      <x:c r="E1" s="2"/>
      <x:c r="F1" s="2"/>
    </x:row>
    <x:row r="2" ht="15" hidden="0">
      <x:c r="A2" s="3" t="s">
        <x:v>1</x:v>
      </x:c>
    </x:row>
    <x:row r="4" ht="15" hidden="0">
      <x:c r="A4" s="4" t="s">
        <x:v>2</x:v>
      </x:c>
    </x:row>
    <x:row r="5" ht="15" hidden="0">
      <x:c r="A5" s="5" t="s">
        <x:v>3</x:v>
      </x:c>
      <x:c r="B5" s="6" t="s">
        <x:v>4</x:v>
      </x:c>
    </x:row>
    <x:row r="6" ht="15" hidden="0">
      <x:c r="A6" s="1" t="s">
        <x:v>5</x:v>
      </x:c>
      <x:c r="B6" s="1" t="s">
        <x:v>6</x:v>
      </x:c>
    </x:row>
    <x:row r="7" ht="15" hidden="0">
      <x:c r="A7" s="7" t="s">
        <x:v>7</x:v>
      </x:c>
      <x:c r="B7" s="6" t="s">
        <x:v>8</x:v>
      </x:c>
    </x:row>
    <x:row r="8" ht="15" hidden="0">
      <x:c r="A8" s="8" t="s">
        <x:v>9</x:v>
      </x:c>
      <x:c r="B8" s="6" t="s">
        <x:v>10</x:v>
      </x:c>
    </x:row>
    <x:row r="10" ht="15" hidden="0">
      <x:c r="A10" s="4" t="s">
        <x:v>11</x:v>
      </x:c>
    </x:row>
    <x:row r="11" ht="26.850000381469727" hidden="0">
      <x:c r="A11" s="4" t="s">
        <x:v>12</x:v>
      </x:c>
      <x:c r="B11" s="9" t="s">
        <x:v>13</x:v>
      </x:c>
    </x:row>
    <x:row r="12" ht="26.850000381469727" hidden="0">
      <x:c r="A12" s="4" t="s">
        <x:v>14</x:v>
      </x:c>
      <x:c r="B12" s="9" t="s">
        <x:v>15</x:v>
      </x:c>
    </x:row>
    <x:row r="13" ht="26.850000381469727" hidden="0">
      <x:c r="A13" s="4" t="s">
        <x:v>16</x:v>
      </x:c>
      <x:c r="B13" s="9" t="s">
        <x:v>17</x:v>
      </x:c>
    </x:row>
    <x:row r="14" ht="26.850000381469727" hidden="0">
      <x:c r="A14" s="4" t="s">
        <x:v>18</x:v>
      </x:c>
      <x:c r="B14" s="9" t="s">
        <x:v>19</x:v>
      </x:c>
    </x:row>
    <x:row r="15" ht="26.850000381469727" hidden="0">
      <x:c r="A15" s="4" t="s">
        <x:v>20</x:v>
      </x:c>
      <x:c r="B15" s="9" t="s">
        <x:v>21</x:v>
      </x:c>
    </x:row>
    <x:row r="16" ht="26.850000381469727" hidden="0">
      <x:c r="A16" s="4" t="s">
        <x:v>22</x:v>
      </x:c>
      <x:c r="B16" s="9" t="s">
        <x:v>23</x:v>
      </x:c>
    </x:row>
    <x:row r="17" ht="26.850000381469727" hidden="0">
      <x:c r="A17" s="4" t="s">
        <x:v>24</x:v>
      </x:c>
      <x:c r="B17" s="9" t="s">
        <x:v>25</x:v>
      </x:c>
    </x:row>
    <x:row r="18" ht="26.850000381469727" hidden="0">
      <x:c r="A18" s="4" t="s">
        <x:v>26</x:v>
      </x:c>
      <x:c r="B18" s="9" t="s">
        <x:v>27</x:v>
      </x:c>
    </x:row>
    <x:row r="19" ht="26.850000381469727" hidden="0">
      <x:c r="A19" s="4" t="s">
        <x:v>28</x:v>
      </x:c>
      <x:c r="B19" s="9" t="s">
        <x:v>29</x:v>
      </x:c>
    </x:row>
    <x:row r="20" ht="26.850000381469727" hidden="0">
      <x:c r="A20" s="4" t="s">
        <x:v>30</x:v>
      </x:c>
      <x:c r="B20" s="9" t="s">
        <x:v>31</x:v>
      </x:c>
    </x:row>
    <x:row r="21" ht="26.850000381469727" hidden="0">
      <x:c r="A21" s="4" t="s">
        <x:v>32</x:v>
      </x:c>
      <x:c r="B21" s="9" t="s">
        <x:v>33</x:v>
      </x:c>
    </x:row>
    <x:row r="22" ht="26.850000381469727" hidden="0">
      <x:c r="A22" s="4" t="s">
        <x:v>34</x:v>
      </x:c>
      <x:c r="B22" s="9" t="s">
        <x:v>35</x:v>
      </x:c>
    </x:row>
    <x:row r="25" ht="60" hidden="0" customHeight="1">
      <x:c r="A25" s="10" t="s">
        <x:v>36</x:v>
      </x:c>
      <x:c r="B25" s="10"/>
    </x:row>
  </x:sheetData>
  <x:mergeCells>
    <x:mergeCell ref="A1:F1"/>
    <x:mergeCell ref="A25:B2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30" style="1" hidden="0" customWidth="1"/>
    <x:col min="2" max="3" width="12" style="1" hidden="0" customWidth="1"/>
    <x:col min="4" max="6" width="14" style="1" hidden="0" customWidth="1"/>
    <x:col min="7" max="7" width="16" style="1" hidden="0" customWidth="1"/>
  </x:cols>
  <x:sheetData>
    <x:row r="1" ht="17.350000381469727" hidden="0">
      <x:c r="A1" s="2" t="s">
        <x:v>37</x:v>
      </x:c>
      <x:c r="B1" s="2"/>
      <x:c r="C1" s="2"/>
      <x:c r="D1" s="2"/>
      <x:c r="E1" s="2"/>
      <x:c r="F1" s="2"/>
      <x:c r="G1" s="2"/>
    </x:row>
    <x:row r="2" ht="15" hidden="0" customHeight="1">
      <x:c r="A2" s="10" t="s">
        <x:v>38</x:v>
      </x:c>
      <x:c r="B2" s="10"/>
      <x:c r="C2" s="10"/>
      <x:c r="D2" s="10"/>
      <x:c r="E2" s="10"/>
      <x:c r="F2" s="10"/>
      <x:c r="G2" s="10"/>
    </x:row>
    <x:row r="4" ht="15" hidden="0" customHeight="1">
      <x:c r="A4" s="11" t="s">
        <x:v>39</x:v>
      </x:c>
      <x:c r="B4" s="12" t="n">
        <x:v>10000</x:v>
      </x:c>
      <x:c r="D4" s="10" t="s">
        <x:v>40</x:v>
      </x:c>
      <x:c r="E4" s="10"/>
      <x:c r="F4" s="10"/>
      <x:c r="G4" s="10"/>
    </x:row>
    <x:row r="5" ht="15" hidden="0">
      <x:c r="A5" s="11" t="s">
        <x:v>41</x:v>
      </x:c>
      <x:c r="B5" s="13" t="n">
        <x:v>0.08</x:v>
      </x:c>
      <x:c r="D5" s="10"/>
      <x:c r="E5" s="10"/>
      <x:c r="F5" s="10"/>
      <x:c r="G5" s="10"/>
    </x:row>
    <x:row r="7" ht="26.850000381469727" hidden="0">
      <x:c r="A7" s="14" t="s">
        <x:v>42</x:v>
      </x:c>
      <x:c r="B7" s="14" t="s">
        <x:v>43</x:v>
      </x:c>
      <x:c r="C7" s="14" t="s">
        <x:v>44</x:v>
      </x:c>
      <x:c r="D7" s="14" t="s">
        <x:v>45</x:v>
      </x:c>
      <x:c r="E7" s="14" t="s">
        <x:v>46</x:v>
      </x:c>
      <x:c r="F7" s="14" t="s">
        <x:v>47</x:v>
      </x:c>
      <x:c r="G7" s="14" t="s">
        <x:v>48</x:v>
      </x:c>
    </x:row>
    <x:row r="8" ht="15" hidden="0">
      <x:c r="A8" s="15" t="s">
        <x:v>49</x:v>
      </x:c>
      <x:c r="B8" s="16" t="n">
        <x:v>0.0002</x:v>
      </x:c>
      <x:c r="C8" s="17" t="n">
        <x:f aca="0">$B$5-B8</x:f>
        <x:v>0.0798</x:v>
      </x:c>
      <x:c r="D8" s="18" t="n">
        <x:f aca="0">$B$4*(1+C8)^10</x:f>
        <x:v>21549.3031804822</x:v>
      </x:c>
      <x:c r="E8" s="18" t="n">
        <x:f aca="0">$B$4*(1+C8)^20</x:f>
        <x:v>46437.246756434026</x:v>
      </x:c>
      <x:c r="F8" s="18" t="n">
        <x:f aca="0">$B$4*(1+C8)^30</x:f>
        <x:v>100069.03092212605</x:v>
      </x:c>
      <x:c r="G8" s="18" t="n">
        <x:f aca="0">$F$8-F8</x:f>
        <x:v>0</x:v>
      </x:c>
    </x:row>
    <x:row r="9" ht="15" hidden="0">
      <x:c r="A9" s="15" t="s">
        <x:v>50</x:v>
      </x:c>
      <x:c r="B9" s="16" t="n">
        <x:v>0.0003</x:v>
      </x:c>
      <x:c r="C9" s="17" t="n">
        <x:f aca="0">$B$5-B9</x:f>
        <x:v>0.07970000000000001</x:v>
      </x:c>
      <x:c r="D9" s="18" t="n">
        <x:f aca="0">$B$4*(1+C9)^10</x:f>
        <x:v>21529.354741087347</x:v>
      </x:c>
      <x:c r="E9" s="18" t="n">
        <x:f aca="0">$B$4*(1+C9)^20</x:f>
        <x:v>46351.31155675803</x:v>
      </x:c>
      <x:c r="F9" s="18" t="n">
        <x:f aca="0">$B$4*(1+C9)^30</x:f>
        <x:v>99791.38292201054</x:v>
      </x:c>
      <x:c r="G9" s="18" t="n">
        <x:f aca="0">$F$8-F9</x:f>
        <x:v>277.64800011551415</x:v>
      </x:c>
    </x:row>
    <x:row r="10" ht="15" hidden="0">
      <x:c r="A10" s="15" t="s">
        <x:v>51</x:v>
      </x:c>
      <x:c r="B10" s="16" t="n">
        <x:v>0.000945</x:v>
      </x:c>
      <x:c r="C10" s="17" t="n">
        <x:f aca="0">$B$5-B10</x:f>
        <x:v>0.079055</x:v>
      </x:c>
      <x:c r="D10" s="18" t="n">
        <x:f aca="0">$B$4*(1+C10)^10</x:f>
        <x:v>21401.086119675994</x:v>
      </x:c>
      <x:c r="E10" s="18" t="n">
        <x:f aca="0">$B$4*(1+C10)^20</x:f>
        <x:v>45800.648710178844</x:v>
      </x:c>
      <x:c r="F10" s="18" t="n">
        <x:f aca="0">$B$4*(1+C10)^30</x:f>
        <x:v>98018.36273835647</x:v>
      </x:c>
      <x:c r="G10" s="18" t="n">
        <x:f aca="0">$F$8-F10</x:f>
        <x:v>2050.6681837695796</x:v>
      </x:c>
    </x:row>
    <x:row r="11" ht="15" hidden="0">
      <x:c r="A11" s="15" t="s">
        <x:v>52</x:v>
      </x:c>
      <x:c r="B11" s="16" t="n">
        <x:v>0.0015</x:v>
      </x:c>
      <x:c r="C11" s="17" t="n">
        <x:f aca="0">$B$5-B11</x:f>
        <x:v>0.0785</x:v>
      </x:c>
      <x:c r="D11" s="18" t="n">
        <x:f aca="0">$B$4*(1+C11)^10</x:f>
        <x:v>21291.266421354198</x:v>
      </x:c>
      <x:c r="E11" s="18" t="n">
        <x:f aca="0">$B$4*(1+C11)^20</x:f>
        <x:v>45331.80258250849</x:v>
      </x:c>
      <x:c r="F11" s="18" t="n">
        <x:f aca="0">$B$4*(1+C11)^30</x:f>
        <x:v>96517.14861444205</x:v>
      </x:c>
      <x:c r="G11" s="18" t="n">
        <x:f aca="0">$F$8-F11</x:f>
        <x:v>3551.8823076840054</x:v>
      </x:c>
    </x:row>
    <x:row r="12" ht="15" hidden="0">
      <x:c r="A12" s="15" t="s">
        <x:v>53</x:v>
      </x:c>
      <x:c r="B12" s="16" t="n">
        <x:v>0.0018</x:v>
      </x:c>
      <x:c r="C12" s="17" t="n">
        <x:f aca="0">$B$5-B12</x:f>
        <x:v>0.0782</x:v>
      </x:c>
      <x:c r="D12" s="18" t="n">
        <x:f aca="0">$B$4*(1+C12)^10</x:f>
        <x:v>21232.115836980618</x:v>
      </x:c>
      <x:c r="E12" s="18" t="n">
        <x:f aca="0">$B$4*(1+C12)^20</x:f>
        <x:v>45080.274291496324</x:v>
      </x:c>
      <x:c r="F12" s="18" t="n">
        <x:f aca="0">$B$4*(1+C12)^30</x:f>
        <x:v>95714.96057199093</x:v>
      </x:c>
      <x:c r="G12" s="18" t="n">
        <x:f aca="0">$F$8-F12</x:f>
        <x:v>4354.070350135124</x:v>
      </x:c>
    </x:row>
    <x:row r="13" ht="15" hidden="0">
      <x:c r="A13" s="15" t="s">
        <x:v>54</x:v>
      </x:c>
      <x:c r="B13" s="16" t="n">
        <x:v>0.0075</x:v>
      </x:c>
      <x:c r="C13" s="17" t="n">
        <x:f aca="0">$B$5-B13</x:f>
        <x:v>0.07250000000000001</x:v>
      </x:c>
      <x:c r="D13" s="18" t="n">
        <x:f aca="0">$B$4*(1+C13)^10</x:f>
        <x:v>20135.991006486776</x:v>
      </x:c>
      <x:c r="E13" s="18" t="n">
        <x:f aca="0">$B$4*(1+C13)^20</x:f>
        <x:v>40545.81338133162</x:v>
      </x:c>
      <x:c r="F13" s="18" t="n">
        <x:f aca="0">$B$4*(1+C13)^30</x:f>
        <x:v>81643.01335971846</x:v>
      </x:c>
      <x:c r="G13" s="18" t="n">
        <x:f aca="0">$F$8-F13</x:f>
        <x:v>18426.017562407593</x:v>
      </x:c>
    </x:row>
    <x:row r="15" ht="15" hidden="0" customHeight="1">
      <x:c r="A15" s="10" t="s">
        <x:v>55</x:v>
      </x:c>
      <x:c r="B15" s="10"/>
      <x:c r="C15" s="10"/>
      <x:c r="D15" s="10"/>
      <x:c r="E15" s="10"/>
      <x:c r="F15" s="10"/>
      <x:c r="G15" s="10"/>
    </x:row>
    <x:row r="17" ht="15" hidden="0">
      <x:c r="A17" s="19" t="s">
        <x:v>56</x:v>
      </x:c>
      <x:c r="B17" s="19"/>
      <x:c r="C17" s="19"/>
      <x:c r="D17" s="19"/>
      <x:c r="E17" s="19"/>
      <x:c r="F17" s="19"/>
      <x:c r="G17" s="19"/>
    </x:row>
    <x:row r="18" ht="39.54999923706055" hidden="0">
      <x:c r="A18" s="14" t="s">
        <x:v>57</x:v>
      </x:c>
      <x:c r="B18" s="14" t="s">
        <x:v>49</x:v>
      </x:c>
      <x:c r="C18" s="14" t="s">
        <x:v>50</x:v>
      </x:c>
      <x:c r="D18" s="14" t="s">
        <x:v>51</x:v>
      </x:c>
      <x:c r="E18" s="14" t="s">
        <x:v>52</x:v>
      </x:c>
      <x:c r="F18" s="14" t="s">
        <x:v>53</x:v>
      </x:c>
      <x:c r="G18" s="14" t="s">
        <x:v>54</x:v>
      </x:c>
    </x:row>
    <x:row r="19" ht="15" hidden="0">
      <x:c r="A19" s="20" t="n">
        <x:v>0.03</x:v>
      </x:c>
      <x:c r="B19" s="18" t="n">
        <x:f aca="0">$B$4*(1+$A19-$B$8)^30</x:f>
        <x:v>24131.628160421653</x:v>
      </x:c>
      <x:c r="C19" s="18" t="n">
        <x:f aca="0">$B$4*(1+$A19-$B$9)^30</x:f>
        <x:v>24061.427109843815</x:v>
      </x:c>
      <x:c r="D19" s="18" t="n">
        <x:f aca="0">$B$4*(1+$A19-$B$10)^30</x:f>
        <x:v>23613.35057096061</x:v>
      </x:c>
      <x:c r="E19" s="18" t="n">
        <x:f aca="0">$B$4*(1+$A19-$B$11)^30</x:f>
        <x:v>23234.26192367908</x:v>
      </x:c>
      <x:c r="F19" s="18" t="n">
        <x:f aca="0">$B$4*(1+$A19-$B$12)^30</x:f>
        <x:v>23031.805584534453</x:v>
      </x:c>
      <x:c r="G19" s="18" t="n">
        <x:f aca="0">$B$4*(1+$A19-$B$13)^30</x:f>
        <x:v>19493.93440521019</x:v>
      </x:c>
    </x:row>
    <x:row r="20" ht="15" hidden="0">
      <x:c r="A20" s="20" t="n">
        <x:v>0.06</x:v>
      </x:c>
      <x:c r="B20" s="18" t="n">
        <x:f aca="0">$B$4*(1+$A20-$B$8)^30</x:f>
        <x:v>57110.69632437433</x:v>
      </x:c>
      <x:c r="C20" s="18" t="n">
        <x:f aca="0">$B$4*(1+$A20-$B$9)^30</x:f>
        <x:v>56949.252767395126</x:v>
      </x:c>
      <x:c r="D20" s="18" t="n">
        <x:f aca="0">$B$4*(1+$A20-$B$10)^30</x:f>
        <x:v>55918.49168137336</x:v>
      </x:c>
      <x:c r="E20" s="18" t="n">
        <x:f aca="0">$B$4*(1+$A20-$B$11)^30</x:f>
        <x:v>55046.013291731884</x:v>
      </x:c>
      <x:c r="F20" s="18" t="n">
        <x:f aca="0">$B$4*(1+$A20-$B$12)^30</x:f>
        <x:v>54579.8975179965</x:v>
      </x:c>
      <x:c r="G20" s="18" t="n">
        <x:f aca="0">$B$4*(1+$A20-$B$13)^30</x:f>
        <x:v>46415.510910082245</x:v>
      </x:c>
    </x:row>
    <x:row r="21" ht="15" hidden="0">
      <x:c r="A21" s="20" t="n">
        <x:v>0.08</x:v>
      </x:c>
      <x:c r="B21" s="18" t="n">
        <x:f aca="0">$B$4*(1+$A21-$B$8)^30</x:f>
        <x:v>100069.03092212605</x:v>
      </x:c>
      <x:c r="C21" s="18" t="n">
        <x:f aca="0">$B$4*(1+$A21-$B$9)^30</x:f>
        <x:v>99791.38292201054</x:v>
      </x:c>
      <x:c r="D21" s="18" t="n">
        <x:f aca="0">$B$4*(1+$A21-$B$10)^30</x:f>
        <x:v>98018.36273835647</x:v>
      </x:c>
      <x:c r="E21" s="18" t="n">
        <x:f aca="0">$B$4*(1+$A21-$B$11)^30</x:f>
        <x:v>96517.14861444205</x:v>
      </x:c>
      <x:c r="F21" s="18" t="n">
        <x:f aca="0">$B$4*(1+$A21-$B$12)^30</x:f>
        <x:v>95714.96057199093</x:v>
      </x:c>
      <x:c r="G21" s="18" t="n">
        <x:f aca="0">$B$4*(1+$A21-$B$13)^30</x:f>
        <x:v>81643.01335971846</x:v>
      </x:c>
    </x:row>
    <x:row r="22" ht="15" hidden="0">
      <x:c r="A22" s="20" t="n">
        <x:v>0.1</x:v>
      </x:c>
      <x:c r="B22" s="18" t="n">
        <x:f aca="0">$B$4*(1+$A22-$B$8)^30</x:f>
        <x:v>173544.74211054482</x:v>
      </x:c>
      <x:c r="C22" s="18" t="n">
        <x:f aca="0">$B$4*(1+$A22-$B$9)^30</x:f>
        <x:v>173071.97579565182</x:v>
      </x:c>
      <x:c r="D22" s="18" t="n">
        <x:f aca="0">$B$4*(1+$A22-$B$10)^30</x:f>
        <x:v>170052.40987988777</x:v>
      </x:c>
      <x:c r="E22" s="18" t="n">
        <x:f aca="0">$B$4*(1+$A22-$B$11)^30</x:f>
        <x:v>167494.99634803485</x:v>
      </x:c>
      <x:c r="F22" s="18" t="n">
        <x:f aca="0">$B$4*(1+$A22-$B$12)^30</x:f>
        <x:v>166128.13179138908</x:v>
      </x:c>
      <x:c r="G22" s="18" t="n">
        <x:f aca="0">$B$4*(1+$A22-$B$13)^30</x:f>
        <x:v>142116.12891276195</x:v>
      </x:c>
    </x:row>
    <x:row r="23" ht="15" hidden="0">
      <x:c r="A23" s="20" t="n">
        <x:v>0.12</x:v>
      </x:c>
      <x:c r="B23" s="18" t="n">
        <x:f aca="0">$B$4*(1+$A23-$B$8)^30</x:f>
        <x:v>297998.37425599416</x:v>
      </x:c>
      <x:c r="C23" s="18" t="n">
        <x:f aca="0">$B$4*(1+$A23-$B$9)^30</x:f>
        <x:v>297201.05466685456</x:v>
      </x:c>
      <x:c r="D23" s="18" t="n">
        <x:f aca="0">$B$4*(1+$A23-$B$10)^30</x:f>
        <x:v>292107.67008847784</x:v>
      </x:c>
      <x:c r="E23" s="18" t="n">
        <x:f aca="0">$B$4*(1+$A23-$B$11)^30</x:f>
        <x:v>287792.620034099</x:v>
      </x:c>
      <x:c r="F23" s="18" t="n">
        <x:f aca="0">$B$4*(1+$A23-$B$12)^30</x:f>
        <x:v>285485.8830050476</x:v>
      </x:c>
      <x:c r="G23" s="18" t="n">
        <x:f aca="0">$B$4*(1+$A23-$B$13)^30</x:f>
        <x:v>244906.65666438744</x:v>
      </x:c>
    </x:row>
  </x:sheetData>
  <x:mergeCells>
    <x:mergeCell ref="A1:G1"/>
    <x:mergeCell ref="A2:G2"/>
    <x:mergeCell ref="D4:G5"/>
    <x:mergeCell ref="A15:G15"/>
    <x:mergeCell ref="A17:G17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32" style="1" hidden="0" customWidth="1"/>
    <x:col min="2" max="5" width="16" style="1" hidden="0" customWidth="1"/>
  </x:cols>
  <x:sheetData>
    <x:row r="1" ht="17.350000381469727" hidden="0">
      <x:c r="A1" s="2" t="s">
        <x:v>58</x:v>
      </x:c>
      <x:c r="B1" s="2"/>
      <x:c r="C1" s="2"/>
      <x:c r="D1" s="2"/>
      <x:c r="E1" s="2"/>
    </x:row>
    <x:row r="3" ht="15" hidden="0">
      <x:c r="A3" s="4" t="s">
        <x:v>59</x:v>
      </x:c>
    </x:row>
    <x:row r="4" ht="15" hidden="0">
      <x:c r="A4" s="1" t="s">
        <x:v>60</x:v>
      </x:c>
      <x:c r="B4" s="12" t="n">
        <x:v>10000</x:v>
      </x:c>
    </x:row>
    <x:row r="5" ht="15" hidden="0">
      <x:c r="A5" s="1" t="s">
        <x:v>61</x:v>
      </x:c>
      <x:c r="B5" s="13" t="n">
        <x:v>0.013</x:v>
      </x:c>
    </x:row>
    <x:row r="6" ht="15" hidden="0">
      <x:c r="A6" s="1" t="s">
        <x:v>62</x:v>
      </x:c>
      <x:c r="B6" s="13" t="n">
        <x:v>0.3</x:v>
      </x:c>
    </x:row>
    <x:row r="7" ht="15" hidden="0">
      <x:c r="A7" s="1" t="s">
        <x:v>63</x:v>
      </x:c>
      <x:c r="B7" s="13" t="n">
        <x:v>0.15</x:v>
      </x:c>
    </x:row>
    <x:row r="9" ht="26.850000381469727" hidden="0">
      <x:c r="A9" s="14"/>
      <x:c r="B9" s="14" t="s">
        <x:v>64</x:v>
      </x:c>
      <x:c r="C9" s="14" t="s">
        <x:v>65</x:v>
      </x:c>
      <x:c r="D9" s="14" t="s">
        <x:v>66</x:v>
      </x:c>
      <x:c r="E9" s="14" t="s">
        <x:v>67</x:v>
      </x:c>
    </x:row>
    <x:row r="10" ht="15" hidden="0">
      <x:c r="A10" s="15" t="s">
        <x:v>68</x:v>
      </x:c>
      <x:c r="B10" s="18" t="n">
        <x:f aca="0">$B$4*$B$5</x:f>
        <x:v>130</x:v>
      </x:c>
      <x:c r="C10" s="21" t="n">
        <x:f aca="0">$B$6</x:f>
        <x:v>0.3</x:v>
      </x:c>
      <x:c r="D10" s="18" t="n">
        <x:f aca="0">B10*C10</x:f>
        <x:v>39</x:v>
      </x:c>
      <x:c r="E10" s="18" t="n">
        <x:f aca="0">B10-D10</x:f>
        <x:v>91</x:v>
      </x:c>
    </x:row>
    <x:row r="11" ht="15" hidden="0">
      <x:c r="A11" s="15" t="s">
        <x:v>69</x:v>
      </x:c>
      <x:c r="B11" s="18" t="n">
        <x:f aca="0">$B$4*$B$5</x:f>
        <x:v>130</x:v>
      </x:c>
      <x:c r="C11" s="21" t="n">
        <x:f aca="0">$B$7</x:f>
        <x:v>0.15</x:v>
      </x:c>
      <x:c r="D11" s="18" t="n">
        <x:f aca="0">B11*C11</x:f>
        <x:v>19.5</x:v>
      </x:c>
      <x:c r="E11" s="18" t="n">
        <x:f aca="0">B11-D11</x:f>
        <x:v>110.5</x:v>
      </x:c>
    </x:row>
    <x:row r="12" ht="15" hidden="0">
      <x:c r="A12" s="15" t="s">
        <x:v>70</x:v>
      </x:c>
      <x:c r="B12" s="22"/>
      <x:c r="C12" s="22"/>
      <x:c r="D12" s="18" t="n">
        <x:f aca="0">D10-D11</x:f>
        <x:v>19.5</x:v>
      </x:c>
      <x:c r="E12" s="22"/>
    </x:row>
    <x:row r="14" ht="15" hidden="0">
      <x:c r="A14" s="4" t="s">
        <x:v>71</x:v>
      </x:c>
    </x:row>
    <x:row r="15" ht="26.850000381469727" hidden="0">
      <x:c r="A15" s="14" t="s">
        <x:v>72</x:v>
      </x:c>
      <x:c r="B15" s="14" t="s">
        <x:v>73</x:v>
      </x:c>
      <x:c r="C15" s="14" t="s">
        <x:v>74</x:v>
      </x:c>
      <x:c r="D15" s="14" t="s">
        <x:v>75</x:v>
      </x:c>
    </x:row>
    <x:row r="16" ht="15" hidden="0">
      <x:c r="A16" s="23" t="n">
        <x:v>0</x:v>
      </x:c>
      <x:c r="B16" s="23" t="n">
        <x:v>10000</x:v>
      </x:c>
      <x:c r="C16" s="23" t="n">
        <x:v>0</x:v>
      </x:c>
      <x:c r="D16" s="20" t="n">
        <x:v>0.18</x:v>
      </x:c>
    </x:row>
    <x:row r="17" ht="15" hidden="0">
      <x:c r="A17" s="23" t="n">
        <x:v>10000</x:v>
      </x:c>
      <x:c r="B17" s="23" t="n">
        <x:v>20000</x:v>
      </x:c>
      <x:c r="C17" s="23" t="n">
        <x:v>1800</x:v>
      </x:c>
      <x:c r="D17" s="20" t="n">
        <x:v>0.2</x:v>
      </x:c>
    </x:row>
    <x:row r="18" ht="15" hidden="0">
      <x:c r="A18" s="23" t="n">
        <x:v>20000</x:v>
      </x:c>
      <x:c r="B18" s="23" t="n">
        <x:v>40000</x:v>
      </x:c>
      <x:c r="C18" s="23" t="n">
        <x:v>3800</x:v>
      </x:c>
      <x:c r="D18" s="20" t="n">
        <x:v>0.22</x:v>
      </x:c>
    </x:row>
    <x:row r="19" ht="15" hidden="0">
      <x:c r="A19" s="23" t="n">
        <x:v>40000</x:v>
      </x:c>
      <x:c r="B19" s="23" t="n">
        <x:v>60000</x:v>
      </x:c>
      <x:c r="C19" s="23" t="n">
        <x:v>8200</x:v>
      </x:c>
      <x:c r="D19" s="20" t="n">
        <x:v>0.24</x:v>
      </x:c>
    </x:row>
    <x:row r="20" ht="15" hidden="0">
      <x:c r="A20" s="23" t="n">
        <x:v>60000</x:v>
      </x:c>
      <x:c r="B20" s="23" t="n">
        <x:v>80000</x:v>
      </x:c>
      <x:c r="C20" s="23" t="n">
        <x:v>13000</x:v>
      </x:c>
      <x:c r="D20" s="20" t="n">
        <x:v>0.26</x:v>
      </x:c>
    </x:row>
    <x:row r="21" ht="15" hidden="0">
      <x:c r="A21" s="23" t="n">
        <x:v>80000</x:v>
      </x:c>
      <x:c r="B21" s="23" t="n">
        <x:v>100000</x:v>
      </x:c>
      <x:c r="C21" s="23" t="n">
        <x:v>18200</x:v>
      </x:c>
      <x:c r="D21" s="20" t="n">
        <x:v>0.28</x:v>
      </x:c>
    </x:row>
    <x:row r="22" ht="15" hidden="0">
      <x:c r="A22" s="23" t="n">
        <x:v>100000</x:v>
      </x:c>
      <x:c r="B22" s="23" t="n">
        <x:v>150000</x:v>
      </x:c>
      <x:c r="C22" s="23" t="n">
        <x:v>23800</x:v>
      </x:c>
      <x:c r="D22" s="20" t="n">
        <x:v>0.3</x:v>
      </x:c>
    </x:row>
    <x:row r="23" ht="15" hidden="0">
      <x:c r="A23" s="23" t="n">
        <x:v>150000</x:v>
      </x:c>
      <x:c r="B23" s="23" t="n">
        <x:v>250000</x:v>
      </x:c>
      <x:c r="C23" s="23" t="n">
        <x:v>38800</x:v>
      </x:c>
      <x:c r="D23" s="20" t="n">
        <x:v>0.32</x:v>
      </x:c>
    </x:row>
    <x:row r="24" ht="15" hidden="0">
      <x:c r="A24" s="23" t="n">
        <x:v>250000</x:v>
      </x:c>
      <x:c r="B24" s="23" t="n">
        <x:v>500000</x:v>
      </x:c>
      <x:c r="C24" s="23" t="n">
        <x:v>70800</x:v>
      </x:c>
      <x:c r="D24" s="20" t="n">
        <x:v>0.34</x:v>
      </x:c>
    </x:row>
    <x:row r="25" ht="15" hidden="0">
      <x:c r="A25" s="23" t="n">
        <x:v>500000</x:v>
      </x:c>
      <x:c r="B25" s="23" t="n">
        <x:v>750000</x:v>
      </x:c>
      <x:c r="C25" s="23" t="n">
        <x:v>155800</x:v>
      </x:c>
      <x:c r="D25" s="20" t="n">
        <x:v>0.37</x:v>
      </x:c>
    </x:row>
    <x:row r="26" ht="15" hidden="0">
      <x:c r="A26" s="23" t="n">
        <x:v>750000</x:v>
      </x:c>
      <x:c r="B26" s="23" t="n">
        <x:v>1000000</x:v>
      </x:c>
      <x:c r="C26" s="23" t="n">
        <x:v>248300</x:v>
      </x:c>
      <x:c r="D26" s="20" t="n">
        <x:v>0.39</x:v>
      </x:c>
    </x:row>
    <x:row r="27" ht="15" hidden="0">
      <x:c r="A27" s="23" t="n">
        <x:v>1000000</x:v>
      </x:c>
      <x:c r="B27" s="23" t="n">
        <x:v>100000000</x:v>
      </x:c>
      <x:c r="C27" s="23" t="n">
        <x:v>345800</x:v>
      </x:c>
      <x:c r="D27" s="20" t="n">
        <x:v>0.4</x:v>
      </x:c>
    </x:row>
    <x:row r="29" ht="15" hidden="0" customHeight="1">
      <x:c r="A29" s="1" t="s">
        <x:v>76</x:v>
      </x:c>
      <x:c r="B29" s="12" t="n">
        <x:v>13000</x:v>
      </x:c>
      <x:c r="D29" s="10" t="s">
        <x:v>77</x:v>
      </x:c>
      <x:c r="E29" s="10"/>
    </x:row>
    <x:row r="30" ht="15" hidden="0">
      <x:c r="A30" s="1" t="s">
        <x:v>78</x:v>
      </x:c>
      <x:c r="B30" s="24" t="n">
        <x:v>150000</x:v>
      </x:c>
      <x:c r="D30" s="10"/>
      <x:c r="E30" s="10"/>
    </x:row>
    <x:row r="31" ht="15" hidden="0">
      <x:c r="D31" s="10"/>
      <x:c r="E31" s="10"/>
    </x:row>
    <x:row r="32" ht="15" hidden="0">
      <x:c r="A32" s="1" t="s">
        <x:v>79</x:v>
      </x:c>
      <x:c r="B32" s="11" t="n">
        <x:f aca="0">MATCH(B30,A16:A27)</x:f>
        <x:v>8</x:v>
      </x:c>
      <x:c r="D32" s="10"/>
      <x:c r="E32" s="10"/>
    </x:row>
    <x:row r="33" ht="15" hidden="0">
      <x:c r="A33" s="1" t="s">
        <x:v>80</x:v>
      </x:c>
      <x:c r="B33" s="25" t="n">
        <x:f aca="0">INDEX(C16:C27,B32)</x:f>
        <x:v>38800</x:v>
      </x:c>
      <x:c r="D33" s="10"/>
      <x:c r="E33" s="10"/>
    </x:row>
    <x:row r="34" ht="15" hidden="0">
      <x:c r="A34" s="1" t="s">
        <x:v>81</x:v>
      </x:c>
      <x:c r="B34" s="26" t="n">
        <x:f aca="0">INDEX(D16:D27,B32)</x:f>
        <x:v>0.32</x:v>
      </x:c>
    </x:row>
    <x:row r="35" ht="15" hidden="0">
      <x:c r="A35" s="1" t="s">
        <x:v>82</x:v>
      </x:c>
      <x:c r="B35" s="27" t="n">
        <x:f aca="0">INDEX(A16:A27,B32)</x:f>
        <x:v>150000</x:v>
      </x:c>
    </x:row>
    <x:row r="36" ht="15" hidden="0">
      <x:c r="A36" s="1" t="s">
        <x:v>83</x:v>
      </x:c>
      <x:c r="B36" s="28" t="n">
        <x:f aca="0">B33+B34*(B30-B35)</x:f>
        <x:v>38800</x:v>
      </x:c>
    </x:row>
    <x:row r="37" ht="15" hidden="0">
      <x:c r="A37" s="1" t="s">
        <x:v>84</x:v>
      </x:c>
      <x:c r="B37" s="25" t="n">
        <x:f aca="0">$B$29</x:f>
        <x:v>13000</x:v>
      </x:c>
    </x:row>
    <x:row r="38" ht="15" hidden="0">
      <x:c r="A38" s="1" t="s">
        <x:v>85</x:v>
      </x:c>
      <x:c r="B38" s="28" t="n">
        <x:f aca="0">MAX(0,B36-B37)</x:f>
        <x:v>25800</x:v>
      </x:c>
    </x:row>
    <x:row r="39" ht="15" hidden="0">
      <x:c r="A39" s="1" t="s">
        <x:v>86</x:v>
      </x:c>
      <x:c r="B39" s="11" t="str">
        <x:f aca="0">IF(B30&gt;=60000,"Yes","No")</x:f>
        <x:v>Yes</x:v>
      </x:c>
    </x:row>
  </x:sheetData>
  <x:mergeCells>
    <x:mergeCell ref="A1:E1"/>
    <x:mergeCell ref="D29:E3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26" style="1" hidden="0" customWidth="1"/>
    <x:col min="2" max="3" width="14" style="1" hidden="0" customWidth="1"/>
    <x:col min="4" max="4" width="16" style="1" hidden="0" customWidth="1"/>
    <x:col min="5" max="5" width="18" style="1" hidden="0" customWidth="1"/>
  </x:cols>
  <x:sheetData>
    <x:row r="1" ht="17.350000381469727" hidden="0">
      <x:c r="A1" s="2" t="s">
        <x:v>87</x:v>
      </x:c>
      <x:c r="B1" s="2"/>
      <x:c r="C1" s="2"/>
      <x:c r="D1" s="2"/>
      <x:c r="E1" s="2"/>
    </x:row>
    <x:row r="3" ht="15" hidden="0">
      <x:c r="A3" s="22" t="s">
        <x:v>88</x:v>
      </x:c>
      <x:c r="B3" s="20" t="n">
        <x:v>0.7</x:v>
      </x:c>
    </x:row>
    <x:row r="4" ht="15" hidden="0">
      <x:c r="A4" s="22" t="s">
        <x:v>89</x:v>
      </x:c>
      <x:c r="B4" s="21" t="n">
        <x:f aca="0">1-B3</x:f>
        <x:v>0.30000000000000004</x:v>
      </x:c>
    </x:row>
    <x:row r="5" ht="15" hidden="0">
      <x:c r="A5" s="22" t="s">
        <x:v>90</x:v>
      </x:c>
      <x:c r="B5" s="20" t="n">
        <x:v>0.16</x:v>
      </x:c>
    </x:row>
    <x:row r="6" ht="15" hidden="0">
      <x:c r="A6" s="22" t="s">
        <x:v>91</x:v>
      </x:c>
      <x:c r="B6" s="20" t="n">
        <x:v>0.06</x:v>
      </x:c>
    </x:row>
    <x:row r="7" ht="15" hidden="0">
      <x:c r="A7" s="22" t="s">
        <x:v>92</x:v>
      </x:c>
      <x:c r="B7" s="20" t="n">
        <x:v>0.1</x:v>
      </x:c>
    </x:row>
    <x:row r="8" ht="15" hidden="0">
      <x:c r="A8" s="22"/>
      <x:c r="B8" s="22"/>
    </x:row>
    <x:row r="9" ht="15" hidden="0">
      <x:c r="A9" s="22" t="s">
        <x:v>93</x:v>
      </x:c>
      <x:c r="B9" s="29" t="n">
        <x:f aca="0">B3^2*B5^2+B4^2*B6^2+2*B3*B4*B7*B5*B6</x:f>
        <x:v>0.013271199999999999</x:v>
      </x:c>
    </x:row>
    <x:row r="10" ht="15" hidden="0">
      <x:c r="A10" s="22" t="s">
        <x:v>94</x:v>
      </x:c>
      <x:c r="B10" s="30" t="n">
        <x:f aca="0">SQRT(B9)</x:f>
        <x:v>0.11520069444235134</x:v>
      </x:c>
    </x:row>
    <x:row r="11" ht="15" hidden="0">
      <x:c r="A11" s="22" t="s">
        <x:v>95</x:v>
      </x:c>
      <x:c r="B11" s="31" t="n">
        <x:f aca="0">B3*B5+B4*B6</x:f>
        <x:v>0.13</x:v>
      </x:c>
    </x:row>
    <x:row r="12" ht="15" hidden="0">
      <x:c r="A12" s="22" t="s">
        <x:v>96</x:v>
      </x:c>
      <x:c r="B12" s="30" t="n">
        <x:f aca="0">B11-B10</x:f>
        <x:v>0.014799305557648662</x:v>
      </x:c>
    </x:row>
    <x:row r="15" ht="15" hidden="0">
      <x:c r="A15" s="19" t="s">
        <x:v>97</x:v>
      </x:c>
      <x:c r="B15" s="19"/>
      <x:c r="C15" s="19"/>
      <x:c r="D15" s="19"/>
      <x:c r="E15" s="19"/>
    </x:row>
    <x:row r="16" ht="26.850000381469727" hidden="0">
      <x:c r="A16" s="14" t="s">
        <x:v>92</x:v>
      </x:c>
      <x:c r="B16" s="14" t="s">
        <x:v>98</x:v>
      </x:c>
      <x:c r="C16" s="14" t="s">
        <x:v>99</x:v>
      </x:c>
      <x:c r="D16" s="14" t="s">
        <x:v>96</x:v>
      </x:c>
      <x:c r="E16" s="14"/>
    </x:row>
    <x:row r="17" ht="15" hidden="0">
      <x:c r="A17" s="20" t="n">
        <x:v>-0.3</x:v>
      </x:c>
      <x:c r="B17" s="31" t="n">
        <x:f aca="0">SQRT($B$3^2*$B$5^2+$B$4^2*$B$6^2+2*$B$3*$B$4*A17*$B$5*$B$6)</x:f>
        <x:v>0.10797407096150445</x:v>
      </x:c>
      <x:c r="C17" s="31" t="n">
        <x:f aca="0">$B$11</x:f>
        <x:v>0.13</x:v>
      </x:c>
      <x:c r="D17" s="31" t="n">
        <x:f aca="0">C17-B17</x:f>
        <x:v>0.022025929038495554</x:v>
      </x:c>
    </x:row>
    <x:row r="18" ht="15" hidden="0">
      <x:c r="A18" s="20" t="n">
        <x:v>-0.1</x:v>
      </x:c>
      <x:c r="B18" s="31" t="n">
        <x:f aca="0">SQRT($B$3^2*$B$5^2+$B$4^2*$B$6^2+2*$B$3*$B$4*A18*$B$5*$B$6)</x:f>
        <x:v>0.11164586870995272</x:v>
      </x:c>
      <x:c r="C18" s="31" t="n">
        <x:f aca="0">$B$11</x:f>
        <x:v>0.13</x:v>
      </x:c>
      <x:c r="D18" s="31" t="n">
        <x:f aca="0">C18-B18</x:f>
        <x:v>0.018354131290047287</x:v>
      </x:c>
    </x:row>
    <x:row r="19" ht="15" hidden="0">
      <x:c r="A19" s="20" t="n">
        <x:v>0</x:v>
      </x:c>
      <x:c r="B19" s="31" t="n">
        <x:f aca="0">SQRT($B$3^2*$B$5^2+$B$4^2*$B$6^2+2*$B$3*$B$4*A19*$B$5*$B$6)</x:f>
        <x:v>0.11343720729989785</x:v>
      </x:c>
      <x:c r="C19" s="31" t="n">
        <x:f aca="0">$B$11</x:f>
        <x:v>0.13</x:v>
      </x:c>
      <x:c r="D19" s="31" t="n">
        <x:f aca="0">C19-B19</x:f>
        <x:v>0.01656279270010215</x:v>
      </x:c>
    </x:row>
    <x:row r="20" ht="15" hidden="0">
      <x:c r="A20" s="20" t="n">
        <x:v>0.1</x:v>
      </x:c>
      <x:c r="B20" s="31" t="n">
        <x:f aca="0">SQRT($B$3^2*$B$5^2+$B$4^2*$B$6^2+2*$B$3*$B$4*A20*$B$5*$B$6)</x:f>
        <x:v>0.11520069444235134</x:v>
      </x:c>
      <x:c r="C20" s="31" t="n">
        <x:f aca="0">$B$11</x:f>
        <x:v>0.13</x:v>
      </x:c>
      <x:c r="D20" s="31" t="n">
        <x:f aca="0">C20-B20</x:f>
        <x:v>0.014799305557648662</x:v>
      </x:c>
    </x:row>
    <x:row r="21" ht="15" hidden="0">
      <x:c r="A21" s="20" t="n">
        <x:v>0.3</x:v>
      </x:c>
      <x:c r="B21" s="31" t="n">
        <x:f aca="0">SQRT($B$3^2*$B$5^2+$B$4^2*$B$6^2+2*$B$3*$B$4*A21*$B$5*$B$6)</x:f>
        <x:v>0.1186490623646053</x:v>
      </x:c>
      <x:c r="C21" s="31" t="n">
        <x:f aca="0">$B$11</x:f>
        <x:v>0.13</x:v>
      </x:c>
      <x:c r="D21" s="31" t="n">
        <x:f aca="0">C21-B21</x:f>
        <x:v>0.0113509376353947</x:v>
      </x:c>
    </x:row>
    <x:row r="22" ht="15" hidden="0">
      <x:c r="A22" s="20" t="n">
        <x:v>0.5</x:v>
      </x:c>
      <x:c r="B22" s="31" t="n">
        <x:f aca="0">SQRT($B$3^2*$B$5^2+$B$4^2*$B$6^2+2*$B$3*$B$4*A22*$B$5*$B$6)</x:f>
        <x:v>0.122</x:v>
      </x:c>
      <x:c r="C22" s="31" t="n">
        <x:f aca="0">$B$11</x:f>
        <x:v>0.13</x:v>
      </x:c>
      <x:c r="D22" s="31" t="n">
        <x:f aca="0">C22-B22</x:f>
        <x:v>0.008000000000000007</x:v>
      </x:c>
    </x:row>
    <x:row r="23" ht="15" hidden="0">
      <x:c r="A23" s="20" t="n">
        <x:v>1</x:v>
      </x:c>
      <x:c r="B23" s="31" t="n">
        <x:f aca="0">SQRT($B$3^2*$B$5^2+$B$4^2*$B$6^2+2*$B$3*$B$4*A23*$B$5*$B$6)</x:f>
        <x:v>0.13</x:v>
      </x:c>
      <x:c r="C23" s="31" t="n">
        <x:f aca="0">$B$11</x:f>
        <x:v>0.13</x:v>
      </x:c>
      <x:c r="D23" s="31" t="n">
        <x:f aca="0">C23-B23</x:f>
        <x:v>0</x:v>
      </x:c>
    </x:row>
    <x:row r="26" ht="15" hidden="0">
      <x:c r="A26" s="19" t="s">
        <x:v>100</x:v>
      </x:c>
      <x:c r="B26" s="19"/>
      <x:c r="C26" s="19"/>
      <x:c r="D26" s="19"/>
      <x:c r="E26" s="19"/>
    </x:row>
    <x:row r="27" ht="15" hidden="0">
      <x:c r="A27" s="14" t="s">
        <x:v>101</x:v>
      </x:c>
      <x:c r="B27" s="14" t="s">
        <x:v>102</x:v>
      </x:c>
      <x:c r="C27" s="14" t="s">
        <x:v>103</x:v>
      </x:c>
      <x:c r="D27" s="14"/>
      <x:c r="E27" s="14"/>
    </x:row>
    <x:row r="28" ht="15" hidden="0">
      <x:c r="A28" s="15" t="s">
        <x:v>104</x:v>
      </x:c>
      <x:c r="B28" s="20" t="n">
        <x:v>0.55</x:v>
      </x:c>
      <x:c r="C28" s="20" t="n">
        <x:v>0.16</x:v>
      </x:c>
    </x:row>
    <x:row r="29" ht="15" hidden="0">
      <x:c r="A29" s="15" t="s">
        <x:v>105</x:v>
      </x:c>
      <x:c r="B29" s="20" t="n">
        <x:v>0.15</x:v>
      </x:c>
      <x:c r="C29" s="20" t="n">
        <x:v>0.06</x:v>
      </x:c>
    </x:row>
    <x:row r="30" ht="15" hidden="0">
      <x:c r="A30" s="15" t="s">
        <x:v>106</x:v>
      </x:c>
      <x:c r="B30" s="20" t="n">
        <x:v>0.3</x:v>
      </x:c>
      <x:c r="C30" s="20" t="n">
        <x:v>0.28</x:v>
      </x:c>
    </x:row>
    <x:row r="31" ht="15" hidden="0">
      <x:c r="A31" s="11" t="s">
        <x:v>107</x:v>
      </x:c>
      <x:c r="B31" s="13" t="n">
        <x:v>0.1</x:v>
      </x:c>
    </x:row>
    <x:row r="32" ht="15" hidden="0">
      <x:c r="A32" s="11" t="s">
        <x:v>108</x:v>
      </x:c>
      <x:c r="B32" s="13" t="n">
        <x:v>0.75</x:v>
      </x:c>
    </x:row>
    <x:row r="33" ht="15" hidden="0">
      <x:c r="A33" s="11" t="s">
        <x:v>109</x:v>
      </x:c>
      <x:c r="B33" s="13" t="n">
        <x:v>0.05</x:v>
      </x:c>
    </x:row>
    <x:row r="35" ht="15" hidden="0">
      <x:c r="A35" s="11" t="s">
        <x:v>110</x:v>
      </x:c>
      <x:c r="B35" s="32" t="n">
        <x:f aca="0">B28^2*C28^2+B29^2*C29^2+B30^2*C30^2+2*B28*B29*B31*C28*C29+2*B28*B30*B32*C28*C30+2*B29*B30*B33*C29*C30</x:f>
        <x:v>0.026203</x:v>
      </x:c>
    </x:row>
    <x:row r="36" ht="15" hidden="0">
      <x:c r="A36" s="4" t="s">
        <x:v>111</x:v>
      </x:c>
      <x:c r="B36" s="33" t="n">
        <x:f aca="0">SQRT(B35)</x:f>
        <x:v>0.16187340732807226</x:v>
      </x:c>
    </x:row>
    <x:row r="37" ht="15" hidden="0">
      <x:c r="A37" s="11" t="s">
        <x:v>99</x:v>
      </x:c>
      <x:c r="B37" s="34" t="n">
        <x:f aca="0">B28*C28+B29*C29+B30*C30</x:f>
        <x:v>0.181</x:v>
      </x:c>
    </x:row>
    <x:row r="38" ht="15" hidden="0">
      <x:c r="A38" s="4" t="s">
        <x:v>96</x:v>
      </x:c>
      <x:c r="B38" s="33" t="n">
        <x:f aca="0">B37-B36</x:f>
        <x:v>0.019126592671927733</x:v>
      </x:c>
    </x:row>
  </x:sheetData>
  <x:mergeCells>
    <x:mergeCell ref="A1:E1"/>
    <x:mergeCell ref="A15:E15"/>
    <x:mergeCell ref="A26:E26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40" style="1" hidden="0" customWidth="1"/>
    <x:col min="2" max="3" width="12" style="1" hidden="0" customWidth="1"/>
    <x:col min="4" max="4" width="14" style="1" hidden="0" customWidth="1"/>
    <x:col min="5" max="5" width="20" style="1" hidden="0" customWidth="1"/>
  </x:cols>
  <x:sheetData>
    <x:row r="1" ht="17.350000381469727" hidden="0">
      <x:c r="A1" s="2" t="s">
        <x:v>112</x:v>
      </x:c>
      <x:c r="B1" s="2"/>
      <x:c r="C1" s="2"/>
      <x:c r="D1" s="2"/>
      <x:c r="E1" s="2"/>
    </x:row>
    <x:row r="3" ht="15" hidden="0">
      <x:c r="A3" s="1" t="s">
        <x:v>113</x:v>
      </x:c>
      <x:c r="B3" s="12" t="n">
        <x:v>50000</x:v>
      </x:c>
    </x:row>
    <x:row r="5" ht="39.54999923706055" hidden="0">
      <x:c r="A5" s="14" t="s">
        <x:v>114</x:v>
      </x:c>
      <x:c r="B5" s="14" t="s">
        <x:v>102</x:v>
      </x:c>
      <x:c r="C5" s="14" t="s">
        <x:v>43</x:v>
      </x:c>
      <x:c r="D5" s="14" t="s">
        <x:v>115</x:v>
      </x:c>
      <x:c r="E5" s="14" t="s">
        <x:v>116</x:v>
      </x:c>
    </x:row>
    <x:row r="6" ht="15" hidden="0">
      <x:c r="A6" s="15" t="s">
        <x:v>117</x:v>
      </x:c>
      <x:c r="B6" s="20" t="n">
        <x:v>0.55</x:v>
      </x:c>
      <x:c r="C6" s="16" t="n">
        <x:v>0.0002</x:v>
      </x:c>
      <x:c r="D6" s="18" t="n">
        <x:f aca="0">$B$3*B6</x:f>
        <x:v>27500.000000000004</x:v>
      </x:c>
      <x:c r="E6" s="17" t="n">
        <x:f aca="0">B6*C6</x:f>
        <x:v>0.00011000000000000002</x:v>
      </x:c>
    </x:row>
    <x:row r="7" ht="15" hidden="0">
      <x:c r="A7" s="15" t="s">
        <x:v>118</x:v>
      </x:c>
      <x:c r="B7" s="20" t="n">
        <x:v>0.15</x:v>
      </x:c>
      <x:c r="C7" s="16" t="n">
        <x:v>0.0003</x:v>
      </x:c>
      <x:c r="D7" s="18" t="n">
        <x:f aca="0">$B$3*B7</x:f>
        <x:v>7500</x:v>
      </x:c>
      <x:c r="E7" s="17" t="n">
        <x:f aca="0">B7*C7</x:f>
        <x:v>0.000044999999999999996</x:v>
      </x:c>
    </x:row>
    <x:row r="8" ht="15" hidden="0">
      <x:c r="A8" s="15" t="s">
        <x:v>119</x:v>
      </x:c>
      <x:c r="B8" s="20" t="n">
        <x:v>0.15</x:v>
      </x:c>
      <x:c r="C8" s="16" t="n">
        <x:v>0.0015</x:v>
      </x:c>
      <x:c r="D8" s="18" t="n">
        <x:f aca="0">$B$3*B8</x:f>
        <x:v>7500</x:v>
      </x:c>
      <x:c r="E8" s="17" t="n">
        <x:f aca="0">B8*C8</x:f>
        <x:v>0.000225</x:v>
      </x:c>
    </x:row>
    <x:row r="9" ht="15" hidden="0">
      <x:c r="A9" s="15" t="s">
        <x:v>120</x:v>
      </x:c>
      <x:c r="B9" s="20" t="n">
        <x:v>0.075</x:v>
      </x:c>
      <x:c r="C9" s="16" t="n">
        <x:v>0.0006</x:v>
      </x:c>
      <x:c r="D9" s="18" t="n">
        <x:f aca="0">$B$3*B9</x:f>
        <x:v>3750</x:v>
      </x:c>
      <x:c r="E9" s="17" t="n">
        <x:f aca="0">B9*C9</x:f>
        <x:v>0.000044999999999999996</x:v>
      </x:c>
    </x:row>
    <x:row r="10" ht="15" hidden="0">
      <x:c r="A10" s="15" t="s">
        <x:v>121</x:v>
      </x:c>
      <x:c r="B10" s="20" t="n">
        <x:v>0.075</x:v>
      </x:c>
      <x:c r="C10" s="16" t="n">
        <x:v>0.0033</x:v>
      </x:c>
      <x:c r="D10" s="18" t="n">
        <x:f aca="0">$B$3*B10</x:f>
        <x:v>3750</x:v>
      </x:c>
      <x:c r="E10" s="17" t="n">
        <x:f aca="0">B10*C10</x:f>
        <x:v>0.0002475</x:v>
      </x:c>
    </x:row>
    <x:row r="11" ht="15" hidden="0">
      <x:c r="A11" s="35" t="s">
        <x:v>122</x:v>
      </x:c>
      <x:c r="B11" s="36" t="n">
        <x:f aca="0">SUM(B6:B10)</x:f>
        <x:v>1</x:v>
      </x:c>
      <x:c r="C11" s="22"/>
      <x:c r="D11" s="37" t="n">
        <x:f aca="0">SUM(D6:D10)</x:f>
        <x:v>50000</x:v>
      </x:c>
      <x:c r="E11" s="38" t="n">
        <x:f aca="0">SUM(E6:E10)</x:f>
        <x:v>0.0006725</x:v>
      </x:c>
    </x:row>
    <x:row r="13" ht="15" hidden="0">
      <x:c r="A13" s="11" t="s">
        <x:v>123</x:v>
      </x:c>
      <x:c r="B13" s="28" t="n">
        <x:f aca="0">$B$3*E11</x:f>
        <x:v>33.625</x:v>
      </x:c>
    </x:row>
    <x:row r="15" ht="15" hidden="0">
      <x:c r="A15" s="19" t="s">
        <x:v>124</x:v>
      </x:c>
      <x:c r="B15" s="19"/>
      <x:c r="C15" s="19"/>
      <x:c r="D15" s="19"/>
      <x:c r="E15" s="19"/>
    </x:row>
    <x:row r="16" ht="39.54999923706055" hidden="0">
      <x:c r="A16" s="14" t="s">
        <x:v>114</x:v>
      </x:c>
      <x:c r="B16" s="14" t="s">
        <x:v>125</x:v>
      </x:c>
      <x:c r="C16" s="14" t="s">
        <x:v>126</x:v>
      </x:c>
      <x:c r="D16" s="14"/>
      <x:c r="E16" s="14"/>
    </x:row>
    <x:row r="17" ht="15" hidden="0">
      <x:c r="A17" s="15" t="s">
        <x:v>117</x:v>
      </x:c>
      <x:c r="B17" s="20" t="n">
        <x:v>0.35</x:v>
      </x:c>
      <x:c r="C17" s="20" t="n">
        <x:v>0.55</x:v>
      </x:c>
    </x:row>
    <x:row r="18" ht="15" hidden="0">
      <x:c r="A18" s="15" t="s">
        <x:v>127</x:v>
      </x:c>
      <x:c r="B18" s="20" t="n">
        <x:v>0.45</x:v>
      </x:c>
      <x:c r="C18" s="20" t="n">
        <x:v>0.05</x:v>
      </x:c>
    </x:row>
    <x:row r="19" ht="15" hidden="0">
      <x:c r="A19" s="15" t="s">
        <x:v>128</x:v>
      </x:c>
      <x:c r="B19" s="20" t="n">
        <x:v>0.05</x:v>
      </x:c>
      <x:c r="C19" s="20" t="n">
        <x:v>0.2</x:v>
      </x:c>
    </x:row>
    <x:row r="20" ht="15" hidden="0">
      <x:c r="A20" s="15" t="s">
        <x:v>129</x:v>
      </x:c>
      <x:c r="B20" s="20" t="n">
        <x:v>0.1</x:v>
      </x:c>
      <x:c r="C20" s="20" t="n">
        <x:v>0.05</x:v>
      </x:c>
    </x:row>
    <x:row r="21" ht="15" hidden="0">
      <x:c r="A21" s="15" t="s">
        <x:v>130</x:v>
      </x:c>
      <x:c r="B21" s="20" t="n">
        <x:v>0.05</x:v>
      </x:c>
      <x:c r="C21" s="20" t="n">
        <x:v>0.15</x:v>
      </x:c>
    </x:row>
    <x:row r="22" ht="15" hidden="0">
      <x:c r="A22" s="4" t="s">
        <x:v>131</x:v>
      </x:c>
      <x:c r="B22" s="39" t="n">
        <x:f aca="0">B17*C6+B18*C7+B19*C8+B20*C9+B21*C10</x:f>
        <x:v>0.000505</x:v>
      </x:c>
      <x:c r="C22" s="39" t="n">
        <x:f aca="0">C17*C6+C18*C7+C19*C8+C20*C9+C21*C10</x:f>
        <x:v>0.00095</x:v>
      </x:c>
    </x:row>
  </x:sheetData>
  <x:mergeCells>
    <x:mergeCell ref="A1:E1"/>
    <x:mergeCell ref="A15:E15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0" style="1" hidden="0" customWidth="1"/>
    <x:col min="2" max="2" width="14" style="1" hidden="0" customWidth="1"/>
    <x:col min="3" max="3" width="30" style="1" hidden="0" customWidth="1"/>
    <x:col min="4" max="4" width="14" style="1" hidden="0" customWidth="1"/>
  </x:cols>
  <x:sheetData>
    <x:row r="1" ht="17.350000381469727" hidden="0">
      <x:c r="A1" s="2" t="s">
        <x:v>132</x:v>
      </x:c>
      <x:c r="B1" s="2"/>
      <x:c r="C1" s="2"/>
      <x:c r="D1" s="2"/>
    </x:row>
    <x:row r="2" ht="22.350000381469727" hidden="0" customHeight="1">
      <x:c r="A2" s="10" t="s">
        <x:v>133</x:v>
      </x:c>
      <x:c r="B2" s="10"/>
      <x:c r="C2" s="10"/>
      <x:c r="D2" s="10"/>
    </x:row>
    <x:row r="4" ht="15" hidden="0" customHeight="1">
      <x:c r="A4" s="14" t="s">
        <x:v>134</x:v>
      </x:c>
      <x:c r="B4" s="14" t="s">
        <x:v>102</x:v>
      </x:c>
      <x:c r="C4" s="14"/>
      <x:c r="D4" s="40" t="s">
        <x:v>135</x:v>
      </x:c>
    </x:row>
    <x:row r="5" ht="15" hidden="0">
      <x:c r="A5" s="15" t="n">
        <x:v>1</x:v>
      </x:c>
      <x:c r="B5" s="16" t="n">
        <x:v>0.033333</x:v>
      </x:c>
      <x:c r="D5" s="40"/>
    </x:row>
    <x:row r="6" ht="15" hidden="0">
      <x:c r="A6" s="15" t="n">
        <x:v>2</x:v>
      </x:c>
      <x:c r="B6" s="16" t="n">
        <x:v>0.033333</x:v>
      </x:c>
      <x:c r="D6" s="40"/>
    </x:row>
    <x:row r="7" ht="15" hidden="0">
      <x:c r="A7" s="15" t="n">
        <x:v>3</x:v>
      </x:c>
      <x:c r="B7" s="16" t="n">
        <x:v>0.033333</x:v>
      </x:c>
      <x:c r="D7" s="40"/>
    </x:row>
    <x:row r="8" ht="15" hidden="0">
      <x:c r="A8" s="15" t="n">
        <x:v>4</x:v>
      </x:c>
      <x:c r="B8" s="16" t="n">
        <x:v>0.033333</x:v>
      </x:c>
      <x:c r="D8" s="40"/>
    </x:row>
    <x:row r="9" ht="15" hidden="0">
      <x:c r="A9" s="15" t="n">
        <x:v>5</x:v>
      </x:c>
      <x:c r="B9" s="16" t="n">
        <x:v>0.033333</x:v>
      </x:c>
      <x:c r="D9" s="40"/>
    </x:row>
    <x:row r="10" ht="15" hidden="0">
      <x:c r="A10" s="15" t="n">
        <x:v>6</x:v>
      </x:c>
      <x:c r="B10" s="16" t="n">
        <x:v>0.033333</x:v>
      </x:c>
      <x:c r="D10" s="40"/>
    </x:row>
    <x:row r="11" ht="15" hidden="0">
      <x:c r="A11" s="15" t="n">
        <x:v>7</x:v>
      </x:c>
      <x:c r="B11" s="16" t="n">
        <x:v>0.033333</x:v>
      </x:c>
    </x:row>
    <x:row r="12" ht="15" hidden="0">
      <x:c r="A12" s="15" t="n">
        <x:v>8</x:v>
      </x:c>
      <x:c r="B12" s="16" t="n">
        <x:v>0.033333</x:v>
      </x:c>
    </x:row>
    <x:row r="13" ht="15" hidden="0">
      <x:c r="A13" s="15" t="n">
        <x:v>9</x:v>
      </x:c>
      <x:c r="B13" s="16" t="n">
        <x:v>0.033333</x:v>
      </x:c>
    </x:row>
    <x:row r="14" ht="15" hidden="0">
      <x:c r="A14" s="15" t="n">
        <x:v>10</x:v>
      </x:c>
      <x:c r="B14" s="16" t="n">
        <x:v>0.033333</x:v>
      </x:c>
    </x:row>
    <x:row r="15" ht="15" hidden="0">
      <x:c r="A15" s="15" t="n">
        <x:v>11</x:v>
      </x:c>
      <x:c r="B15" s="16" t="n">
        <x:v>0.033333</x:v>
      </x:c>
    </x:row>
    <x:row r="16" ht="15" hidden="0">
      <x:c r="A16" s="15" t="n">
        <x:v>12</x:v>
      </x:c>
      <x:c r="B16" s="16" t="n">
        <x:v>0.033333</x:v>
      </x:c>
    </x:row>
    <x:row r="17" ht="15" hidden="0">
      <x:c r="A17" s="15" t="n">
        <x:v>13</x:v>
      </x:c>
      <x:c r="B17" s="16" t="n">
        <x:v>0.033333</x:v>
      </x:c>
    </x:row>
    <x:row r="18" ht="15" hidden="0">
      <x:c r="A18" s="15" t="n">
        <x:v>14</x:v>
      </x:c>
      <x:c r="B18" s="16" t="n">
        <x:v>0.033333</x:v>
      </x:c>
    </x:row>
    <x:row r="19" ht="15" hidden="0">
      <x:c r="A19" s="15" t="n">
        <x:v>15</x:v>
      </x:c>
      <x:c r="B19" s="16" t="n">
        <x:v>0.033333</x:v>
      </x:c>
    </x:row>
    <x:row r="20" ht="15" hidden="0">
      <x:c r="A20" s="15" t="n">
        <x:v>16</x:v>
      </x:c>
      <x:c r="B20" s="16" t="n">
        <x:v>0.033333</x:v>
      </x:c>
    </x:row>
    <x:row r="21" ht="15" hidden="0">
      <x:c r="A21" s="15" t="n">
        <x:v>17</x:v>
      </x:c>
      <x:c r="B21" s="16" t="n">
        <x:v>0.033333</x:v>
      </x:c>
    </x:row>
    <x:row r="22" ht="15" hidden="0">
      <x:c r="A22" s="15" t="n">
        <x:v>18</x:v>
      </x:c>
      <x:c r="B22" s="16" t="n">
        <x:v>0.033333</x:v>
      </x:c>
    </x:row>
    <x:row r="23" ht="15" hidden="0">
      <x:c r="A23" s="15" t="n">
        <x:v>19</x:v>
      </x:c>
      <x:c r="B23" s="16" t="n">
        <x:v>0.033333</x:v>
      </x:c>
    </x:row>
    <x:row r="24" ht="15" hidden="0">
      <x:c r="A24" s="15" t="n">
        <x:v>20</x:v>
      </x:c>
      <x:c r="B24" s="16" t="n">
        <x:v>0.033333</x:v>
      </x:c>
    </x:row>
    <x:row r="25" ht="15" hidden="0">
      <x:c r="A25" s="15" t="n">
        <x:v>21</x:v>
      </x:c>
      <x:c r="B25" s="16" t="n">
        <x:v>0.033333</x:v>
      </x:c>
    </x:row>
    <x:row r="26" ht="15" hidden="0">
      <x:c r="A26" s="15" t="n">
        <x:v>22</x:v>
      </x:c>
      <x:c r="B26" s="16" t="n">
        <x:v>0.033333</x:v>
      </x:c>
    </x:row>
    <x:row r="27" ht="15" hidden="0">
      <x:c r="A27" s="15" t="n">
        <x:v>23</x:v>
      </x:c>
      <x:c r="B27" s="16" t="n">
        <x:v>0.033333</x:v>
      </x:c>
    </x:row>
    <x:row r="28" ht="15" hidden="0">
      <x:c r="A28" s="15" t="n">
        <x:v>24</x:v>
      </x:c>
      <x:c r="B28" s="16" t="n">
        <x:v>0.033333</x:v>
      </x:c>
    </x:row>
    <x:row r="29" ht="15" hidden="0">
      <x:c r="A29" s="15" t="n">
        <x:v>25</x:v>
      </x:c>
      <x:c r="B29" s="16" t="n">
        <x:v>0.033333</x:v>
      </x:c>
    </x:row>
    <x:row r="30" ht="15" hidden="0">
      <x:c r="A30" s="15" t="n">
        <x:v>26</x:v>
      </x:c>
      <x:c r="B30" s="16" t="n">
        <x:v>0.033333</x:v>
      </x:c>
    </x:row>
    <x:row r="31" ht="15" hidden="0">
      <x:c r="A31" s="15" t="n">
        <x:v>27</x:v>
      </x:c>
      <x:c r="B31" s="16" t="n">
        <x:v>0.033333</x:v>
      </x:c>
    </x:row>
    <x:row r="32" ht="15" hidden="0">
      <x:c r="A32" s="15" t="n">
        <x:v>28</x:v>
      </x:c>
      <x:c r="B32" s="16" t="n">
        <x:v>0.033333</x:v>
      </x:c>
    </x:row>
    <x:row r="33" ht="15" hidden="0">
      <x:c r="A33" s="15" t="n">
        <x:v>29</x:v>
      </x:c>
      <x:c r="B33" s="16" t="n">
        <x:v>0.033333</x:v>
      </x:c>
    </x:row>
    <x:row r="34" ht="15" hidden="0">
      <x:c r="A34" s="15" t="n">
        <x:v>30</x:v>
      </x:c>
      <x:c r="B34" s="16" t="n">
        <x:v>0.033333</x:v>
      </x:c>
    </x:row>
    <x:row r="36" ht="15" hidden="0">
      <x:c r="A36" s="1" t="s">
        <x:v>136</x:v>
      </x:c>
      <x:c r="B36" s="26" t="n">
        <x:f aca="0">SUM(B5:B34)</x:f>
        <x:v>0.9999900000000008</x:v>
      </x:c>
    </x:row>
    <x:row r="37" ht="15" hidden="0">
      <x:c r="A37" s="1" t="s">
        <x:v>137</x:v>
      </x:c>
      <x:c r="B37" s="41" t="n">
        <x:f aca="0">SUMSQ(B5:B34)</x:f>
        <x:v>0.033332666670000025</x:v>
      </x:c>
    </x:row>
    <x:row r="38" ht="15" hidden="0">
      <x:c r="A38" s="1" t="s">
        <x:v>138</x:v>
      </x:c>
      <x:c r="B38" s="42" t="n">
        <x:f aca="0">1/B37</x:f>
        <x:v>30.0006000090001</x:v>
      </x:c>
    </x:row>
    <x:row r="39" ht="15" hidden="0">
      <x:c r="A39" s="1" t="s">
        <x:v>139</x:v>
      </x:c>
      <x:c r="B39" s="11" t="n">
        <x:f aca="0">COUNTIF(B5:B34,"&gt;0")</x:f>
        <x:v>30</x:v>
      </x:c>
    </x:row>
    <x:row r="42" ht="15" hidden="0">
      <x:c r="A42" s="19" t="s">
        <x:v>140</x:v>
      </x:c>
      <x:c r="B42" s="19"/>
      <x:c r="C42" s="19"/>
      <x:c r="D42" s="19"/>
    </x:row>
    <x:row r="43" ht="26.850000381469727" hidden="0">
      <x:c r="A43" s="14" t="s">
        <x:v>141</x:v>
      </x:c>
      <x:c r="B43" s="14" t="s">
        <x:v>142</x:v>
      </x:c>
      <x:c r="C43" s="14" t="s">
        <x:v>143</x:v>
      </x:c>
      <x:c r="D43" s="14"/>
    </x:row>
    <x:row r="44" ht="15" hidden="0">
      <x:c r="A44" s="43" t="n">
        <x:v>10</x:v>
      </x:c>
      <x:c r="B44" s="29" t="n">
        <x:f aca="0">1/A44</x:f>
        <x:v>0.1</x:v>
      </x:c>
      <x:c r="C44" s="44" t="n">
        <x:f aca="0">1/B44</x:f>
        <x:v>10</x:v>
      </x:c>
    </x:row>
    <x:row r="45" ht="15" hidden="0">
      <x:c r="A45" s="43" t="n">
        <x:v>25</x:v>
      </x:c>
      <x:c r="B45" s="29" t="n">
        <x:f aca="0">1/A45</x:f>
        <x:v>0.04</x:v>
      </x:c>
      <x:c r="C45" s="44" t="n">
        <x:f aca="0">1/B45</x:f>
        <x:v>25</x:v>
      </x:c>
    </x:row>
    <x:row r="46" ht="15" hidden="0">
      <x:c r="A46" s="43" t="n">
        <x:v>30</x:v>
      </x:c>
      <x:c r="B46" s="29" t="n">
        <x:f aca="0">1/A46</x:f>
        <x:v>0.03333333333333333</x:v>
      </x:c>
      <x:c r="C46" s="44" t="n">
        <x:f aca="0">1/B46</x:f>
        <x:v>30</x:v>
      </x:c>
    </x:row>
    <x:row r="47" ht="15" hidden="0">
      <x:c r="A47" s="43" t="n">
        <x:v>50</x:v>
      </x:c>
      <x:c r="B47" s="29" t="n">
        <x:f aca="0">1/A47</x:f>
        <x:v>0.02</x:v>
      </x:c>
      <x:c r="C47" s="44" t="n">
        <x:f aca="0">1/B47</x:f>
        <x:v>50</x:v>
      </x:c>
    </x:row>
    <x:row r="48" ht="15" hidden="0">
      <x:c r="A48" s="43" t="n">
        <x:v>100</x:v>
      </x:c>
      <x:c r="B48" s="29" t="n">
        <x:f aca="0">1/A48</x:f>
        <x:v>0.01</x:v>
      </x:c>
      <x:c r="C48" s="44" t="n">
        <x:f aca="0">1/B48</x:f>
        <x:v>100</x:v>
      </x:c>
    </x:row>
    <x:row r="49" ht="15" hidden="0">
      <x:c r="A49" s="43" t="n">
        <x:v>500</x:v>
      </x:c>
      <x:c r="B49" s="29" t="n">
        <x:f aca="0">1/A49</x:f>
        <x:v>0.002</x:v>
      </x:c>
      <x:c r="C49" s="44" t="n">
        <x:f aca="0">1/B49</x:f>
        <x:v>500</x:v>
      </x:c>
    </x:row>
    <x:row r="52" ht="15" hidden="0">
      <x:c r="A52" s="19" t="s">
        <x:v>144</x:v>
      </x:c>
      <x:c r="B52" s="19"/>
      <x:c r="C52" s="19"/>
      <x:c r="D52" s="19"/>
    </x:row>
    <x:row r="53" ht="39.54999923706055" hidden="0">
      <x:c r="A53" s="14" t="s">
        <x:v>145</x:v>
      </x:c>
      <x:c r="B53" s="14" t="s">
        <x:v>146</x:v>
      </x:c>
      <x:c r="C53" s="14" t="s">
        <x:v>147</x:v>
      </x:c>
      <x:c r="D53" s="14" t="s">
        <x:v>148</x:v>
      </x:c>
    </x:row>
    <x:row r="54" ht="15" hidden="0">
      <x:c r="A54" s="20" t="n">
        <x:v>0.0333</x:v>
      </x:c>
      <x:c r="B54" s="17" t="n">
        <x:f aca="0">(1-A54)/29</x:f>
        <x:v>0.03333448275862069</x:v>
      </x:c>
      <x:c r="C54" s="45" t="n">
        <x:f aca="0">A54^2+29*B54^2</x:f>
        <x:v>0.03333333448275863</x:v>
      </x:c>
      <x:c r="D54" s="44" t="n">
        <x:f aca="0">1/C54</x:f>
        <x:v>29.999998965517268</x:v>
      </x:c>
    </x:row>
    <x:row r="55" ht="15" hidden="0">
      <x:c r="A55" s="20" t="n">
        <x:v>0.05</x:v>
      </x:c>
      <x:c r="B55" s="17" t="n">
        <x:f aca="0">(1-A55)/29</x:f>
        <x:v>0.03275862068965517</x:v>
      </x:c>
      <x:c r="C55" s="45" t="n">
        <x:f aca="0">A55^2+29*B55^2</x:f>
        <x:v>0.03362068965517241</x:v>
      </x:c>
      <x:c r="D55" s="44" t="n">
        <x:f aca="0">1/C55</x:f>
        <x:v>29.743589743589745</x:v>
      </x:c>
    </x:row>
    <x:row r="56" ht="15" hidden="0">
      <x:c r="A56" s="20" t="n">
        <x:v>0.08</x:v>
      </x:c>
      <x:c r="B56" s="17" t="n">
        <x:f aca="0">(1-A56)/29</x:f>
        <x:v>0.031724137931034485</x:v>
      </x:c>
      <x:c r="C56" s="45" t="n">
        <x:f aca="0">A56^2+29*B56^2</x:f>
        <x:v>0.03558620689655173</x:v>
      </x:c>
      <x:c r="D56" s="44" t="n">
        <x:f aca="0">1/C56</x:f>
        <x:v>28.100775193798444</x:v>
      </x:c>
    </x:row>
    <x:row r="57" ht="15" hidden="0">
      <x:c r="A57" s="20" t="n">
        <x:v>0.1</x:v>
      </x:c>
      <x:c r="B57" s="17" t="n">
        <x:f aca="0">(1-A57)/29</x:f>
        <x:v>0.03103448275862069</x:v>
      </x:c>
      <x:c r="C57" s="45" t="n">
        <x:f aca="0">A57^2+29*B57^2</x:f>
        <x:v>0.03793103448275862</x:v>
      </x:c>
      <x:c r="D57" s="44" t="n">
        <x:f aca="0">1/C57</x:f>
        <x:v>26.363636363636363</x:v>
      </x:c>
    </x:row>
    <x:row r="58" ht="15" hidden="0">
      <x:c r="A58" s="20" t="n">
        <x:v>0.15</x:v>
      </x:c>
      <x:c r="B58" s="17" t="n">
        <x:f aca="0">(1-A58)/29</x:f>
        <x:v>0.029310344827586206</x:v>
      </x:c>
      <x:c r="C58" s="45" t="n">
        <x:f aca="0">A58^2+29*B58^2</x:f>
        <x:v>0.04741379310344827</x:v>
      </x:c>
      <x:c r="D58" s="44" t="n">
        <x:f aca="0">1/C58</x:f>
        <x:v>21.090909090909093</x:v>
      </x:c>
    </x:row>
    <x:row r="59" ht="15" hidden="0">
      <x:c r="A59" s="20" t="n">
        <x:v>0.2</x:v>
      </x:c>
      <x:c r="B59" s="17" t="n">
        <x:f aca="0">(1-A59)/29</x:f>
        <x:v>0.027586206896551727</x:v>
      </x:c>
      <x:c r="C59" s="45" t="n">
        <x:f aca="0">A59^2+29*B59^2</x:f>
        <x:v>0.06206896551724139</x:v>
      </x:c>
      <x:c r="D59" s="44" t="n">
        <x:f aca="0">1/C59</x:f>
        <x:v>16.111111111111107</x:v>
      </x:c>
    </x:row>
    <x:row r="60" ht="15" hidden="0">
      <x:c r="A60" s="20" t="n">
        <x:v>0.25</x:v>
      </x:c>
      <x:c r="B60" s="17" t="n">
        <x:f aca="0">(1-A60)/29</x:f>
        <x:v>0.02586206896551724</x:v>
      </x:c>
      <x:c r="C60" s="45" t="n">
        <x:f aca="0">A60^2+29*B60^2</x:f>
        <x:v>0.08189655172413793</x:v>
      </x:c>
      <x:c r="D60" s="44" t="n">
        <x:f aca="0">1/C60</x:f>
        <x:v>12.210526315789474</x:v>
      </x:c>
    </x:row>
  </x:sheetData>
  <x:mergeCells>
    <x:mergeCell ref="A1:D1"/>
    <x:mergeCell ref="A2:D2"/>
    <x:mergeCell ref="D4:D10"/>
    <x:mergeCell ref="A42:D42"/>
    <x:mergeCell ref="A52:D5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22" style="1" hidden="0" customWidth="1"/>
    <x:col min="2" max="5" width="12" style="1" hidden="0" customWidth="1"/>
  </x:cols>
  <x:sheetData>
    <x:row r="1" ht="17.350000381469727" hidden="0">
      <x:c r="A1" s="2" t="s">
        <x:v>149</x:v>
      </x:c>
      <x:c r="B1" s="2"/>
      <x:c r="C1" s="2"/>
      <x:c r="D1" s="2"/>
      <x:c r="E1" s="2"/>
    </x:row>
    <x:row r="3" ht="15" hidden="0">
      <x:c r="A3" s="4" t="s">
        <x:v>150</x:v>
      </x:c>
    </x:row>
    <x:row r="4" ht="26.850000381469727" hidden="0">
      <x:c r="B4" s="14" t="s">
        <x:v>151</x:v>
      </x:c>
      <x:c r="C4" s="14" t="s">
        <x:v>152</x:v>
      </x:c>
      <x:c r="D4" s="14" t="s">
        <x:v>153</x:v>
      </x:c>
      <x:c r="E4" s="14" t="s">
        <x:v>154</x:v>
      </x:c>
    </x:row>
    <x:row r="5" ht="15" hidden="0">
      <x:c r="A5" s="11" t="s">
        <x:v>102</x:v>
      </x:c>
      <x:c r="B5" s="13" t="n">
        <x:v>0.55</x:v>
      </x:c>
      <x:c r="C5" s="13" t="n">
        <x:v>0.15</x:v>
      </x:c>
      <x:c r="D5" s="13" t="n">
        <x:v>0.15</x:v>
      </x:c>
      <x:c r="E5" s="13" t="n">
        <x:v>0.15</x:v>
      </x:c>
    </x:row>
    <x:row r="7" ht="15" hidden="0">
      <x:c r="A7" s="4" t="s">
        <x:v>155</x:v>
      </x:c>
    </x:row>
    <x:row r="8" ht="26.850000381469727" hidden="0">
      <x:c r="B8" s="14" t="s">
        <x:v>151</x:v>
      </x:c>
      <x:c r="C8" s="14" t="s">
        <x:v>152</x:v>
      </x:c>
      <x:c r="D8" s="14" t="s">
        <x:v>153</x:v>
      </x:c>
      <x:c r="E8" s="14" t="s">
        <x:v>154</x:v>
      </x:c>
    </x:row>
    <x:row r="9" ht="15" hidden="0">
      <x:c r="A9" s="11" t="s">
        <x:v>103</x:v>
      </x:c>
      <x:c r="B9" s="13" t="n">
        <x:v>0.16</x:v>
      </x:c>
      <x:c r="C9" s="13" t="n">
        <x:v>0.06</x:v>
      </x:c>
      <x:c r="D9" s="13" t="n">
        <x:v>0.22</x:v>
      </x:c>
      <x:c r="E9" s="13" t="n">
        <x:v>0.28</x:v>
      </x:c>
    </x:row>
    <x:row r="11" ht="15" hidden="0">
      <x:c r="A11" s="4" t="s">
        <x:v>156</x:v>
      </x:c>
    </x:row>
    <x:row r="12" ht="26.850000381469727" hidden="0">
      <x:c r="A12" s="22"/>
      <x:c r="B12" s="14" t="s">
        <x:v>151</x:v>
      </x:c>
      <x:c r="C12" s="14" t="s">
        <x:v>152</x:v>
      </x:c>
      <x:c r="D12" s="14" t="s">
        <x:v>153</x:v>
      </x:c>
      <x:c r="E12" s="14" t="s">
        <x:v>154</x:v>
      </x:c>
    </x:row>
    <x:row r="13" ht="15" hidden="0">
      <x:c r="A13" s="15" t="s">
        <x:v>151</x:v>
      </x:c>
      <x:c r="B13" s="20" t="n">
        <x:v>1</x:v>
      </x:c>
      <x:c r="C13" s="20" t="n">
        <x:v>0.1</x:v>
      </x:c>
      <x:c r="D13" s="20" t="n">
        <x:v>0.85</x:v>
      </x:c>
      <x:c r="E13" s="20" t="n">
        <x:v>0.75</x:v>
      </x:c>
    </x:row>
    <x:row r="14" ht="15" hidden="0">
      <x:c r="A14" s="15" t="s">
        <x:v>152</x:v>
      </x:c>
      <x:c r="B14" s="20" t="n">
        <x:v>0.1</x:v>
      </x:c>
      <x:c r="C14" s="20" t="n">
        <x:v>1</x:v>
      </x:c>
      <x:c r="D14" s="20" t="n">
        <x:v>0.05</x:v>
      </x:c>
      <x:c r="E14" s="20" t="n">
        <x:v>0.05</x:v>
      </x:c>
    </x:row>
    <x:row r="15" ht="15" hidden="0">
      <x:c r="A15" s="15" t="s">
        <x:v>153</x:v>
      </x:c>
      <x:c r="B15" s="20" t="n">
        <x:v>0.85</x:v>
      </x:c>
      <x:c r="C15" s="20" t="n">
        <x:v>0.05</x:v>
      </x:c>
      <x:c r="D15" s="20" t="n">
        <x:v>1</x:v>
      </x:c>
      <x:c r="E15" s="20" t="n">
        <x:v>0.65</x:v>
      </x:c>
    </x:row>
    <x:row r="16" ht="15" hidden="0">
      <x:c r="A16" s="15" t="s">
        <x:v>154</x:v>
      </x:c>
      <x:c r="B16" s="20" t="n">
        <x:v>0.75</x:v>
      </x:c>
      <x:c r="C16" s="20" t="n">
        <x:v>0.05</x:v>
      </x:c>
      <x:c r="D16" s="20" t="n">
        <x:v>0.65</x:v>
      </x:c>
      <x:c r="E16" s="20" t="n">
        <x:v>1</x:v>
      </x:c>
    </x:row>
    <x:row r="18" ht="15" hidden="0">
      <x:c r="A18" s="4" t="s">
        <x:v>157</x:v>
      </x:c>
    </x:row>
    <x:row r="19" ht="26.850000381469727" hidden="0">
      <x:c r="A19" s="22"/>
      <x:c r="B19" s="14" t="s">
        <x:v>151</x:v>
      </x:c>
      <x:c r="C19" s="14" t="s">
        <x:v>152</x:v>
      </x:c>
      <x:c r="D19" s="14" t="s">
        <x:v>153</x:v>
      </x:c>
      <x:c r="E19" s="14" t="s">
        <x:v>154</x:v>
      </x:c>
    </x:row>
    <x:row r="20" ht="15" hidden="0">
      <x:c r="A20" s="15" t="s">
        <x:v>151</x:v>
      </x:c>
      <x:c r="B20" s="45" t="n">
        <x:f aca="0">B$9*B$9*B13</x:f>
        <x:v>0.0256</x:v>
      </x:c>
      <x:c r="C20" s="45" t="n">
        <x:f aca="0">B$9*C$9*C13</x:f>
        <x:v>0.0009599999999999999</x:v>
      </x:c>
      <x:c r="D20" s="45" t="n">
        <x:f aca="0">B$9*D$9*D13</x:f>
        <x:v>0.029920000000000002</x:v>
      </x:c>
      <x:c r="E20" s="45" t="n">
        <x:f aca="0">B$9*E$9*E13</x:f>
        <x:v>0.033600000000000005</x:v>
      </x:c>
    </x:row>
    <x:row r="21" ht="15" hidden="0">
      <x:c r="A21" s="15" t="s">
        <x:v>152</x:v>
      </x:c>
      <x:c r="B21" s="45" t="n">
        <x:f aca="0">C$9*B$9*B14</x:f>
        <x:v>0.0009599999999999999</x:v>
      </x:c>
      <x:c r="C21" s="45" t="n">
        <x:f aca="0">C$9*C$9*C14</x:f>
        <x:v>0.0036</x:v>
      </x:c>
      <x:c r="D21" s="45" t="n">
        <x:f aca="0">C$9*D$9*D14</x:f>
        <x:v>0.00066</x:v>
      </x:c>
      <x:c r="E21" s="45" t="n">
        <x:f aca="0">C$9*E$9*E14</x:f>
        <x:v>0.0008400000000000001</x:v>
      </x:c>
    </x:row>
    <x:row r="22" ht="15" hidden="0">
      <x:c r="A22" s="15" t="s">
        <x:v>153</x:v>
      </x:c>
      <x:c r="B22" s="45" t="n">
        <x:f aca="0">D$9*B$9*B15</x:f>
        <x:v>0.029920000000000002</x:v>
      </x:c>
      <x:c r="C22" s="45" t="n">
        <x:f aca="0">D$9*C$9*C15</x:f>
        <x:v>0.00066</x:v>
      </x:c>
      <x:c r="D22" s="45" t="n">
        <x:f aca="0">D$9*D$9*D15</x:f>
        <x:v>0.0484</x:v>
      </x:c>
      <x:c r="E22" s="45" t="n">
        <x:f aca="0">D$9*E$9*E15</x:f>
        <x:v>0.040040000000000006</x:v>
      </x:c>
    </x:row>
    <x:row r="23" ht="15" hidden="0">
      <x:c r="A23" s="15" t="s">
        <x:v>154</x:v>
      </x:c>
      <x:c r="B23" s="45" t="n">
        <x:f aca="0">E$9*B$9*B16</x:f>
        <x:v>0.033600000000000005</x:v>
      </x:c>
      <x:c r="C23" s="45" t="n">
        <x:f aca="0">E$9*C$9*C16</x:f>
        <x:v>0.0008400000000000001</x:v>
      </x:c>
      <x:c r="D23" s="45" t="n">
        <x:f aca="0">E$9*D$9*D16</x:f>
        <x:v>0.040040000000000006</x:v>
      </x:c>
      <x:c r="E23" s="45" t="n">
        <x:f aca="0">E$9*E$9*E16</x:f>
        <x:v>0.07840000000000001</x:v>
      </x:c>
    </x:row>
    <x:row r="25" ht="15" hidden="0">
      <x:c r="A25" s="4" t="s">
        <x:v>158</x:v>
      </x:c>
    </x:row>
    <x:row r="26" ht="15" hidden="0" customHeight="1">
      <x:c r="A26" s="11" t="s">
        <x:v>93</x:v>
      </x:c>
      <x:c r="B26" s="46" t="n">
        <x:f aca="0">$B$5*$B$5*B20+$B$5*$C$5*C20+$B$5*$D$5*D20+$B$5*$E$5*E20+$C$5*$B$5*B21+$C$5*$C$5*C21+$C$5*$D$5*D21+$C$5*$E$5*E21+$D$5*$B$5*B22+$D$5*$C$5*C22+$D$5*$D$5*D22+$D$5*$E$5*E22+$E$5*$B$5*B23+$E$5*$C$5*C23+$E$5*$D$5*D23+$E$5*$E$5*E23</x:f>
        <x:v>0.023186500000000002</x:v>
      </x:c>
      <x:c r="D26" s="10" t="s">
        <x:v>159</x:v>
      </x:c>
      <x:c r="E26" s="10"/>
    </x:row>
    <x:row r="27" ht="15" hidden="0">
      <x:c r="A27" s="4" t="s">
        <x:v>94</x:v>
      </x:c>
      <x:c r="B27" s="33" t="n">
        <x:f aca="0">SQRT(B26)</x:f>
        <x:v>0.15227113974749124</x:v>
      </x:c>
      <x:c r="D27" s="10"/>
      <x:c r="E27" s="10"/>
    </x:row>
    <x:row r="28" ht="15" hidden="0">
      <x:c r="A28" s="11" t="s">
        <x:v>95</x:v>
      </x:c>
      <x:c r="B28" s="34" t="n">
        <x:f aca="0">B$5*B$9+C$5*C$9+D$5*D$9+E$5*E$9</x:f>
        <x:v>0.17200000000000001</x:v>
      </x:c>
      <x:c r="D28" s="10"/>
      <x:c r="E28" s="10"/>
    </x:row>
    <x:row r="29" ht="15" hidden="0">
      <x:c r="A29" s="4" t="s">
        <x:v>96</x:v>
      </x:c>
      <x:c r="B29" s="33" t="n">
        <x:f aca="0">B28-B27</x:f>
        <x:v>0.01972886025250878</x:v>
      </x:c>
      <x:c r="D29" s="10"/>
      <x:c r="E29" s="10"/>
    </x:row>
  </x:sheetData>
  <x:mergeCells>
    <x:mergeCell ref="A1:E1"/>
    <x:mergeCell ref="D26:E29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30" style="1" hidden="0" customWidth="1"/>
    <x:col min="2" max="3" width="14" style="1" hidden="0" customWidth="1"/>
  </x:cols>
  <x:sheetData>
    <x:row r="1" ht="17.350000381469727" hidden="0">
      <x:c r="A1" s="2" t="s">
        <x:v>160</x:v>
      </x:c>
      <x:c r="B1" s="2"/>
      <x:c r="C1" s="2"/>
    </x:row>
    <x:row r="3" ht="15" hidden="0">
      <x:c r="A3" s="4" t="s">
        <x:v>161</x:v>
      </x:c>
    </x:row>
    <x:row r="4" ht="15" hidden="0">
      <x:c r="A4" s="22" t="s">
        <x:v>162</x:v>
      </x:c>
      <x:c r="B4" s="47" t="n">
        <x:v>100</x:v>
      </x:c>
    </x:row>
    <x:row r="5" ht="15" hidden="0">
      <x:c r="A5" s="22" t="s">
        <x:v>163</x:v>
      </x:c>
      <x:c r="B5" s="47" t="n">
        <x:v>90</x:v>
      </x:c>
    </x:row>
    <x:row r="6" ht="15" hidden="0">
      <x:c r="A6" s="22" t="s">
        <x:v>164</x:v>
      </x:c>
      <x:c r="B6" s="47" t="n">
        <x:v>2</x:v>
      </x:c>
    </x:row>
    <x:row r="7" ht="15" hidden="0">
      <x:c r="A7" s="22" t="s">
        <x:v>165</x:v>
      </x:c>
      <x:c r="B7" s="43" t="n">
        <x:v>1</x:v>
      </x:c>
    </x:row>
    <x:row r="8" ht="15" hidden="0">
      <x:c r="A8" s="22"/>
      <x:c r="B8" s="22"/>
    </x:row>
    <x:row r="9" ht="15" hidden="0">
      <x:c r="A9" s="22" t="s">
        <x:v>166</x:v>
      </x:c>
      <x:c r="B9" s="18" t="n">
        <x:f aca="0">B5*100*B7</x:f>
        <x:v>9000</x:v>
      </x:c>
    </x:row>
    <x:row r="10" ht="15" hidden="0">
      <x:c r="A10" s="22" t="s">
        <x:v>167</x:v>
      </x:c>
      <x:c r="B10" s="18" t="n">
        <x:f aca="0">B6*100*B7</x:f>
        <x:v>200</x:v>
      </x:c>
    </x:row>
    <x:row r="11" ht="15" hidden="0">
      <x:c r="A11" s="22" t="s">
        <x:v>168</x:v>
      </x:c>
      <x:c r="B11" s="18" t="n">
        <x:f aca="0">B5-B6</x:f>
        <x:v>88</x:v>
      </x:c>
    </x:row>
    <x:row r="12" ht="15" hidden="0">
      <x:c r="A12" s="22" t="s">
        <x:v>169</x:v>
      </x:c>
      <x:c r="B12" s="30" t="n">
        <x:f aca="0">B10/B9</x:f>
        <x:v>0.022222222222222223</x:v>
      </x:c>
    </x:row>
    <x:row r="13" ht="15" hidden="0">
      <x:c r="A13" s="22" t="s">
        <x:v>170</x:v>
      </x:c>
      <x:c r="B13" s="21" t="n">
        <x:f aca="0">B12*12</x:f>
        <x:v>0.26666666666666666</x:v>
      </x:c>
    </x:row>
    <x:row r="16" ht="15" hidden="0">
      <x:c r="A16" s="4" t="s">
        <x:v>171</x:v>
      </x:c>
    </x:row>
    <x:row r="17" ht="15" hidden="0">
      <x:c r="A17" s="22" t="s">
        <x:v>172</x:v>
      </x:c>
      <x:c r="B17" s="18" t="n">
        <x:f aca="0">B11</x:f>
        <x:v>88</x:v>
      </x:c>
    </x:row>
    <x:row r="18" ht="15" hidden="0">
      <x:c r="A18" s="22" t="s">
        <x:v>173</x:v>
      </x:c>
      <x:c r="B18" s="47" t="n">
        <x:v>95</x:v>
      </x:c>
    </x:row>
    <x:row r="19" ht="15" hidden="0">
      <x:c r="A19" s="22" t="s">
        <x:v>174</x:v>
      </x:c>
      <x:c r="B19" s="47" t="n">
        <x:v>1.5</x:v>
      </x:c>
    </x:row>
    <x:row r="20" ht="15" hidden="0">
      <x:c r="A20" s="22" t="s">
        <x:v>175</x:v>
      </x:c>
      <x:c r="B20" s="18" t="n">
        <x:f aca="0">B18+B19</x:f>
        <x:v>96.5</x:v>
      </x:c>
    </x:row>
    <x:row r="21" ht="15" hidden="0">
      <x:c r="A21" s="22" t="s">
        <x:v>176</x:v>
      </x:c>
      <x:c r="B21" s="37" t="n">
        <x:f aca="0">B20-B17</x:f>
        <x:v>8.5</x:v>
      </x:c>
    </x:row>
    <x:row r="22" ht="15" hidden="0">
      <x:c r="A22" s="22" t="s">
        <x:v>177</x:v>
      </x:c>
      <x:c r="B22" s="37" t="n">
        <x:f aca="0">B21*100*B7</x:f>
        <x:v>850</x:v>
      </x:c>
    </x:row>
    <x:row r="23" ht="15" hidden="0">
      <x:c r="A23" s="22" t="s">
        <x:v>178</x:v>
      </x:c>
      <x:c r="B23" s="30" t="n">
        <x:f aca="0">B21/B17</x:f>
        <x:v>0.09659090909090909</x:v>
      </x:c>
    </x:row>
    <x:row r="25" ht="15" hidden="0">
      <x:c r="A25" s="4" t="s">
        <x:v>179</x:v>
      </x:c>
    </x:row>
    <x:row r="26" ht="15" hidden="0">
      <x:c r="A26" s="22" t="s">
        <x:v>180</x:v>
      </x:c>
      <x:c r="B26" s="48" t="n">
        <x:v>70</x:v>
      </x:c>
    </x:row>
    <x:row r="27" ht="15" hidden="0">
      <x:c r="A27" s="22" t="s">
        <x:v>181</x:v>
      </x:c>
      <x:c r="B27" s="18" t="n">
        <x:f aca="0">B17-B26</x:f>
        <x:v>18</x:v>
      </x:c>
    </x:row>
    <x:row r="28" ht="15" hidden="0">
      <x:c r="A28" s="22" t="s">
        <x:v>182</x:v>
      </x:c>
      <x:c r="B28" s="37" t="n">
        <x:f aca="0">B27*100*B7</x:f>
        <x:v>1800</x:v>
      </x:c>
    </x:row>
    <x:row r="29" ht="15" hidden="0">
      <x:c r="A29" s="22" t="s">
        <x:v>183</x:v>
      </x:c>
      <x:c r="B29" s="18" t="n">
        <x:f aca="0">B10</x:f>
        <x:v>200</x:v>
      </x:c>
    </x:row>
    <x:row r="30" ht="15" hidden="0">
      <x:c r="A30" s="22" t="s">
        <x:v>184</x:v>
      </x:c>
      <x:c r="B30" s="37" t="n">
        <x:f aca="0">B29-B28</x:f>
        <x:v>-1600</x:v>
      </x:c>
    </x:row>
    <x:row r="33" ht="15" hidden="0">
      <x:c r="A33" s="19" t="s">
        <x:v>185</x:v>
      </x:c>
      <x:c r="B33" s="19"/>
      <x:c r="C33" s="19"/>
    </x:row>
    <x:row r="34" ht="26.850000381469727" hidden="0">
      <x:c r="A34" s="14" t="s">
        <x:v>186</x:v>
      </x:c>
      <x:c r="B34" s="14" t="s">
        <x:v>187</x:v>
      </x:c>
      <x:c r="C34" s="14" t="s">
        <x:v>188</x:v>
      </x:c>
    </x:row>
    <x:row r="35" ht="15" hidden="0">
      <x:c r="A35" s="47" t="n">
        <x:v>95</x:v>
      </x:c>
      <x:c r="B35" s="47" t="n">
        <x:v>3.5</x:v>
      </x:c>
      <x:c r="C35" s="31" t="n">
        <x:f aca="0">(B35*100)/(A35*100)</x:f>
        <x:v>0.03684210526315789</x:v>
      </x:c>
    </x:row>
    <x:row r="36" ht="15" hidden="0">
      <x:c r="A36" s="47" t="n">
        <x:v>90</x:v>
      </x:c>
      <x:c r="B36" s="47" t="n">
        <x:v>2</x:v>
      </x:c>
      <x:c r="C36" s="31" t="n">
        <x:f aca="0">(B36*100)/(A36*100)</x:f>
        <x:v>0.022222222222222223</x:v>
      </x:c>
    </x:row>
    <x:row r="37" ht="15" hidden="0">
      <x:c r="A37" s="47" t="n">
        <x:v>85</x:v>
      </x:c>
      <x:c r="B37" s="47" t="n">
        <x:v>1.1</x:v>
      </x:c>
      <x:c r="C37" s="31" t="n">
        <x:f aca="0">(B37*100)/(A37*100)</x:f>
        <x:v>0.012941176470588237</x:v>
      </x:c>
    </x:row>
    <x:row r="38" ht="15" hidden="0">
      <x:c r="A38" s="47" t="n">
        <x:v>80</x:v>
      </x:c>
      <x:c r="B38" s="47" t="n">
        <x:v>0.6</x:v>
      </x:c>
      <x:c r="C38" s="31" t="n">
        <x:f aca="0">(B38*100)/(A38*100)</x:f>
        <x:v>0.0075</x:v>
      </x:c>
    </x:row>
  </x:sheetData>
  <x:mergeCells>
    <x:mergeCell ref="A1:C1"/>
    <x:mergeCell ref="A33:C33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34" style="1" hidden="0" customWidth="1"/>
    <x:col min="2" max="4" width="16" style="1" hidden="0" customWidth="1"/>
  </x:cols>
  <x:sheetData>
    <x:row r="1" ht="17.350000381469727" hidden="0">
      <x:c r="A1" s="2" t="s">
        <x:v>189</x:v>
      </x:c>
      <x:c r="B1" s="2"/>
      <x:c r="C1" s="2"/>
      <x:c r="D1" s="2"/>
    </x:row>
    <x:row r="3" ht="15" hidden="0">
      <x:c r="A3" s="4" t="s">
        <x:v>190</x:v>
      </x:c>
    </x:row>
    <x:row r="4" ht="15" hidden="0">
      <x:c r="A4" s="22" t="s">
        <x:v>191</x:v>
      </x:c>
      <x:c r="B4" s="23" t="n">
        <x:v>1000</x:v>
      </x:c>
    </x:row>
    <x:row r="5" ht="15" hidden="0">
      <x:c r="A5" s="22" t="s">
        <x:v>192</x:v>
      </x:c>
      <x:c r="B5" s="20" t="n">
        <x:v>0.15</x:v>
      </x:c>
    </x:row>
    <x:row r="6" ht="15" hidden="0">
      <x:c r="A6" s="22" t="s">
        <x:v>193</x:v>
      </x:c>
      <x:c r="B6" s="20" t="n">
        <x:v>0.24</x:v>
      </x:c>
    </x:row>
    <x:row r="7" ht="15" hidden="0">
      <x:c r="A7" s="22" t="s">
        <x:v>194</x:v>
      </x:c>
      <x:c r="B7" s="18" t="n">
        <x:f aca="0">B4*B5</x:f>
        <x:v>150</x:v>
      </x:c>
    </x:row>
    <x:row r="8" ht="15" hidden="0">
      <x:c r="A8" s="22" t="s">
        <x:v>195</x:v>
      </x:c>
      <x:c r="B8" s="18" t="n">
        <x:f aca="0">B4*B6</x:f>
        <x:v>240</x:v>
      </x:c>
    </x:row>
    <x:row r="9" ht="15" hidden="0">
      <x:c r="A9" s="22" t="s">
        <x:v>196</x:v>
      </x:c>
      <x:c r="B9" s="18" t="n">
        <x:f aca="0">B4-B7</x:f>
        <x:v>850</x:v>
      </x:c>
    </x:row>
    <x:row r="10" ht="15" hidden="0">
      <x:c r="A10" s="22" t="s">
        <x:v>197</x:v>
      </x:c>
      <x:c r="B10" s="18" t="n">
        <x:f aca="0">B4-B8</x:f>
        <x:v>760</x:v>
      </x:c>
    </x:row>
    <x:row r="11" ht="15" hidden="0">
      <x:c r="A11" s="22" t="s">
        <x:v>198</x:v>
      </x:c>
      <x:c r="B11" s="37" t="n">
        <x:f aca="0">B8-B7</x:f>
        <x:v>90</x:v>
      </x:c>
    </x:row>
    <x:row r="13" ht="15" hidden="0">
      <x:c r="A13" s="4" t="s">
        <x:v>199</x:v>
      </x:c>
    </x:row>
    <x:row r="14" ht="15" hidden="0">
      <x:c r="A14" s="22" t="s">
        <x:v>200</x:v>
      </x:c>
      <x:c r="B14" s="43" t="n">
        <x:v>100</x:v>
      </x:c>
    </x:row>
    <x:row r="15" ht="15" hidden="0">
      <x:c r="A15" s="22" t="s">
        <x:v>201</x:v>
      </x:c>
      <x:c r="B15" s="47" t="n">
        <x:v>50</x:v>
      </x:c>
    </x:row>
    <x:row r="16" ht="15" hidden="0">
      <x:c r="A16" s="22" t="s">
        <x:v>202</x:v>
      </x:c>
      <x:c r="B16" s="47" t="n">
        <x:v>40</x:v>
      </x:c>
    </x:row>
    <x:row r="17" ht="15" hidden="0">
      <x:c r="A17" s="22" t="s">
        <x:v>203</x:v>
      </x:c>
      <x:c r="B17" s="18" t="n">
        <x:f aca="0">(B15-B16)*B14</x:f>
        <x:v>1000</x:v>
      </x:c>
    </x:row>
    <x:row r="18" ht="15" hidden="0">
      <x:c r="A18" s="22" t="s">
        <x:v>204</x:v>
      </x:c>
      <x:c r="B18" s="47" t="n">
        <x:v>41</x:v>
      </x:c>
    </x:row>
    <x:row r="19" ht="15" hidden="0">
      <x:c r="A19" s="22" t="s">
        <x:v>205</x:v>
      </x:c>
      <x:c r="B19" s="43" t="n">
        <x:v>100</x:v>
      </x:c>
    </x:row>
    <x:row r="20" ht="15" hidden="0">
      <x:c r="A20" s="22" t="s">
        <x:v>206</x:v>
      </x:c>
      <x:c r="B20" s="18" t="n">
        <x:f aca="0">B17*(B19/B14)</x:f>
        <x:v>1000</x:v>
      </x:c>
    </x:row>
    <x:row r="21" ht="15" hidden="0">
      <x:c r="A21" s="22" t="s">
        <x:v>207</x:v>
      </x:c>
      <x:c r="B21" s="18" t="n">
        <x:f aca="0">B17-B20</x:f>
        <x:v>0</x:v>
      </x:c>
    </x:row>
    <x:row r="22" ht="15" hidden="0">
      <x:c r="A22" s="22" t="s">
        <x:v>208</x:v>
      </x:c>
      <x:c r="B22" s="18" t="n">
        <x:f aca="0">B18*B19</x:f>
        <x:v>4100</x:v>
      </x:c>
    </x:row>
    <x:row r="23" ht="15" hidden="0">
      <x:c r="A23" s="22" t="s">
        <x:v>209</x:v>
      </x:c>
      <x:c r="B23" s="37" t="n">
        <x:f aca="0">B22+B20</x:f>
        <x:v>5100</x:v>
      </x:c>
    </x:row>
    <x:row r="24" ht="15" hidden="0">
      <x:c r="A24" s="22" t="s">
        <x:v>210</x:v>
      </x:c>
      <x:c r="B24" s="37" t="n">
        <x:f aca="0">B23/B19</x:f>
        <x:v>51</x:v>
      </x:c>
    </x:row>
    <x:row r="26" ht="15" hidden="0">
      <x:c r="A26" s="4" t="s">
        <x:v>211</x:v>
      </x:c>
    </x:row>
    <x:row r="27" ht="15" hidden="0" customHeight="1">
      <x:c r="A27" s="22" t="s">
        <x:v>212</x:v>
      </x:c>
      <x:c r="B27" s="49" t="n">
        <x:v>100000</x:v>
      </x:c>
      <x:c r="D27" s="10" t="s">
        <x:v>213</x:v>
      </x:c>
    </x:row>
    <x:row r="28" ht="15" hidden="0">
      <x:c r="A28" s="22" t="s">
        <x:v>214</x:v>
      </x:c>
      <x:c r="B28" s="49" t="n">
        <x:v>50000</x:v>
      </x:c>
      <x:c r="D28" s="10"/>
    </x:row>
    <x:row r="29" ht="15" hidden="0">
      <x:c r="A29" s="22" t="s">
        <x:v>215</x:v>
      </x:c>
      <x:c r="B29" s="23" t="n">
        <x:v>49450</x:v>
      </x:c>
      <x:c r="D29" s="10"/>
    </x:row>
    <x:row r="30" ht="15" hidden="0">
      <x:c r="A30" s="22" t="s">
        <x:v>216</x:v>
      </x:c>
      <x:c r="B30" s="23" t="n">
        <x:v>545500</x:v>
      </x:c>
      <x:c r="D30" s="10"/>
    </x:row>
    <x:row r="31" ht="15" hidden="0">
      <x:c r="A31" s="22" t="s">
        <x:v>217</x:v>
      </x:c>
      <x:c r="B31" s="50" t="n">
        <x:f aca="0">B27+B28</x:f>
        <x:v>150000</x:v>
      </x:c>
      <x:c r="D31" s="10"/>
    </x:row>
    <x:row r="32" ht="15" hidden="0">
      <x:c r="A32" s="22" t="s">
        <x:v>218</x:v>
      </x:c>
      <x:c r="B32" s="50" t="n">
        <x:f aca="0">MAX(0,MIN(B31,B29)-MAX(B27,0))</x:f>
        <x:v>0</x:v>
      </x:c>
      <x:c r="D32" s="10"/>
    </x:row>
    <x:row r="33" ht="15" hidden="0">
      <x:c r="A33" s="22" t="s">
        <x:v>219</x:v>
      </x:c>
      <x:c r="B33" s="50" t="n">
        <x:f aca="0">MAX(0,MIN(B31,B30)-MAX(B27,B29))</x:f>
        <x:v>50000</x:v>
      </x:c>
      <x:c r="D33" s="10"/>
    </x:row>
    <x:row r="34" ht="15" hidden="0">
      <x:c r="A34" s="22" t="s">
        <x:v>220</x:v>
      </x:c>
      <x:c r="B34" s="50" t="n">
        <x:f aca="0">MAX(0,B31-MAX(B27,B30))</x:f>
        <x:v>0</x:v>
      </x:c>
    </x:row>
    <x:row r="35" ht="15" hidden="0">
      <x:c r="A35" s="22" t="s">
        <x:v>221</x:v>
      </x:c>
      <x:c r="B35" s="37" t="n">
        <x:f aca="0">B32*0+B33*0.15+B34*0.2</x:f>
        <x:v>7500</x:v>
      </x:c>
    </x:row>
    <x:row r="36" ht="15" hidden="0">
      <x:c r="A36" s="22" t="s">
        <x:v>222</x:v>
      </x:c>
      <x:c r="B36" s="36" t="n">
        <x:f aca="0">B35/B28</x:f>
        <x:v>0.15</x:v>
      </x:c>
    </x:row>
  </x:sheetData>
  <x:mergeCells>
    <x:mergeCell ref="A1:D1"/>
    <x:mergeCell ref="D27:D33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22" style="1" hidden="0" customWidth="1"/>
    <x:col min="2" max="3" width="14" style="1" hidden="0" customWidth="1"/>
    <x:col min="4" max="6" width="16" style="1" hidden="0" customWidth="1"/>
  </x:cols>
  <x:sheetData>
    <x:row r="1" ht="17.350000381469727" hidden="0">
      <x:c r="A1" s="2" t="s">
        <x:v>223</x:v>
      </x:c>
      <x:c r="B1" s="2"/>
      <x:c r="C1" s="2"/>
      <x:c r="D1" s="2"/>
      <x:c r="E1" s="2"/>
      <x:c r="F1" s="2"/>
    </x:row>
    <x:row r="2" ht="15" hidden="0">
      <x:c r="A2" s="1" t="s">
        <x:v>224</x:v>
      </x:c>
      <x:c r="B2" s="12" t="n">
        <x:v>50000</x:v>
      </x:c>
    </x:row>
    <x:row r="3" ht="39.54999923706055" hidden="0">
      <x:c r="A3" s="14" t="s">
        <x:v>114</x:v>
      </x:c>
      <x:c r="B3" s="14" t="s">
        <x:v>225</x:v>
      </x:c>
      <x:c r="C3" s="14" t="s">
        <x:v>226</x:v>
      </x:c>
      <x:c r="D3" s="14" t="s">
        <x:v>227</x:v>
      </x:c>
      <x:c r="E3" s="14" t="s">
        <x:v>228</x:v>
      </x:c>
      <x:c r="F3" s="14" t="s">
        <x:v>229</x:v>
      </x:c>
    </x:row>
    <x:row r="4" ht="15" hidden="0">
      <x:c r="A4" s="15" t="s">
        <x:v>230</x:v>
      </x:c>
      <x:c r="B4" s="20" t="n">
        <x:v>0.55</x:v>
      </x:c>
      <x:c r="C4" s="20" t="n">
        <x:v>0.15</x:v>
      </x:c>
      <x:c r="D4" s="18" t="n">
        <x:f aca="0">$B$2*B4</x:f>
        <x:v>27500.000000000004</x:v>
      </x:c>
      <x:c r="E4" s="18" t="n">
        <x:f aca="0">D4*(1+C4)</x:f>
        <x:v>31625</x:v>
      </x:c>
      <x:c r="F4" s="21" t="n">
        <x:f aca="0">E4/$E$8</x:f>
        <x:v>0.5346576500422654</x:v>
      </x:c>
    </x:row>
    <x:row r="5" ht="15" hidden="0">
      <x:c r="A5" s="15" t="s">
        <x:v>127</x:v>
      </x:c>
      <x:c r="B5" s="20" t="n">
        <x:v>0.15</x:v>
      </x:c>
      <x:c r="C5" s="20" t="n">
        <x:v>0.02</x:v>
      </x:c>
      <x:c r="D5" s="18" t="n">
        <x:f aca="0">$B$2*B5</x:f>
        <x:v>7500</x:v>
      </x:c>
      <x:c r="E5" s="18" t="n">
        <x:f aca="0">D5*(1+C5)</x:f>
        <x:v>7650</x:v>
      </x:c>
      <x:c r="F5" s="21" t="n">
        <x:f aca="0">E5/$E$8</x:f>
        <x:v>0.1293322062552832</x:v>
      </x:c>
    </x:row>
    <x:row r="6" ht="15" hidden="0">
      <x:c r="A6" s="15" t="s">
        <x:v>128</x:v>
      </x:c>
      <x:c r="B6" s="20" t="n">
        <x:v>0.15</x:v>
      </x:c>
      <x:c r="C6" s="20" t="n">
        <x:v>0.3</x:v>
      </x:c>
      <x:c r="D6" s="18" t="n">
        <x:f aca="0">$B$2*B6</x:f>
        <x:v>7500</x:v>
      </x:c>
      <x:c r="E6" s="18" t="n">
        <x:f aca="0">D6*(1+C6)</x:f>
        <x:v>9750</x:v>
      </x:c>
      <x:c r="F6" s="21" t="n">
        <x:f aca="0">E6/$E$8</x:f>
        <x:v>0.16483516483516483</x:v>
      </x:c>
    </x:row>
    <x:row r="7" ht="15" hidden="0">
      <x:c r="A7" s="15" t="s">
        <x:v>154</x:v>
      </x:c>
      <x:c r="B7" s="20" t="n">
        <x:v>0.15</x:v>
      </x:c>
      <x:c r="C7" s="20" t="n">
        <x:v>0.35</x:v>
      </x:c>
      <x:c r="D7" s="18" t="n">
        <x:f aca="0">$B$2*B7</x:f>
        <x:v>7500</x:v>
      </x:c>
      <x:c r="E7" s="18" t="n">
        <x:f aca="0">D7*(1+C7)</x:f>
        <x:v>10125</x:v>
      </x:c>
      <x:c r="F7" s="21" t="n">
        <x:f aca="0">E7/$E$8</x:f>
        <x:v>0.17117497886728655</x:v>
      </x:c>
    </x:row>
    <x:row r="8" ht="15" hidden="0">
      <x:c r="A8" s="35" t="s">
        <x:v>122</x:v>
      </x:c>
      <x:c r="B8" s="22"/>
      <x:c r="C8" s="22"/>
      <x:c r="D8" s="37" t="n">
        <x:f aca="0">SUM(D4:D7)</x:f>
        <x:v>50000</x:v>
      </x:c>
      <x:c r="E8" s="37" t="n">
        <x:f aca="0">SUM(E4:E7)</x:f>
        <x:v>59150</x:v>
      </x:c>
      <x:c r="F8" s="22"/>
    </x:row>
    <x:row r="11" ht="15" hidden="0">
      <x:c r="A11" s="19" t="s">
        <x:v>231</x:v>
      </x:c>
      <x:c r="B11" s="19"/>
      <x:c r="C11" s="19"/>
      <x:c r="D11" s="19"/>
      <x:c r="E11" s="19"/>
      <x:c r="F11" s="19"/>
    </x:row>
    <x:row r="12" ht="26.850000381469727" hidden="0">
      <x:c r="A12" s="14" t="s">
        <x:v>114</x:v>
      </x:c>
      <x:c r="B12" s="14" t="s">
        <x:v>232</x:v>
      </x:c>
      <x:c r="C12" s="14" t="s">
        <x:v>233</x:v>
      </x:c>
      <x:c r="D12" s="14" t="s">
        <x:v>234</x:v>
      </x:c>
      <x:c r="E12" s="14" t="s">
        <x:v>235</x:v>
      </x:c>
      <x:c r="F12" s="14" t="s">
        <x:v>236</x:v>
      </x:c>
    </x:row>
    <x:row r="13" ht="15" hidden="0">
      <x:c r="A13" s="15" t="s">
        <x:v>230</x:v>
      </x:c>
      <x:c r="B13" s="51" t="n">
        <x:f aca="0">E4</x:f>
        <x:v>31625</x:v>
      </x:c>
      <x:c r="C13" s="52" t="n">
        <x:f aca="0">B4</x:f>
        <x:v>0.55</x:v>
      </x:c>
      <x:c r="D13" s="18" t="n">
        <x:f aca="0">$E$8*C13</x:f>
        <x:v>32532.500000000004</x:v>
      </x:c>
      <x:c r="E13" s="37" t="n">
        <x:f aca="0">D13-B13</x:f>
        <x:v>907.5000000000036</x:v>
      </x:c>
      <x:c r="F13" s="15" t="str">
        <x:f aca="0">IF(E13&gt;=0,"BUY","SELL")</x:f>
        <x:v>BUY</x:v>
      </x:c>
    </x:row>
    <x:row r="14" ht="15" hidden="0">
      <x:c r="A14" s="15" t="s">
        <x:v>127</x:v>
      </x:c>
      <x:c r="B14" s="51" t="n">
        <x:f aca="0">E5</x:f>
        <x:v>7650</x:v>
      </x:c>
      <x:c r="C14" s="52" t="n">
        <x:f aca="0">B5</x:f>
        <x:v>0.15</x:v>
      </x:c>
      <x:c r="D14" s="18" t="n">
        <x:f aca="0">$E$8*C14</x:f>
        <x:v>8872.5</x:v>
      </x:c>
      <x:c r="E14" s="37" t="n">
        <x:f aca="0">D14-B14</x:f>
        <x:v>1222.5</x:v>
      </x:c>
      <x:c r="F14" s="15" t="str">
        <x:f aca="0">IF(E14&gt;=0,"BUY","SELL")</x:f>
        <x:v>BUY</x:v>
      </x:c>
    </x:row>
    <x:row r="15" ht="15" hidden="0">
      <x:c r="A15" s="15" t="s">
        <x:v>128</x:v>
      </x:c>
      <x:c r="B15" s="51" t="n">
        <x:f aca="0">E6</x:f>
        <x:v>9750</x:v>
      </x:c>
      <x:c r="C15" s="52" t="n">
        <x:f aca="0">B6</x:f>
        <x:v>0.15</x:v>
      </x:c>
      <x:c r="D15" s="18" t="n">
        <x:f aca="0">$E$8*C15</x:f>
        <x:v>8872.5</x:v>
      </x:c>
      <x:c r="E15" s="37" t="n">
        <x:f aca="0">D15-B15</x:f>
        <x:v>-877.5</x:v>
      </x:c>
      <x:c r="F15" s="15" t="str">
        <x:f aca="0">IF(E15&gt;=0,"BUY","SELL")</x:f>
        <x:v>SELL</x:v>
      </x:c>
    </x:row>
    <x:row r="16" ht="15" hidden="0">
      <x:c r="A16" s="15" t="s">
        <x:v>154</x:v>
      </x:c>
      <x:c r="B16" s="51" t="n">
        <x:f aca="0">E7</x:f>
        <x:v>10125</x:v>
      </x:c>
      <x:c r="C16" s="52" t="n">
        <x:f aca="0">B7</x:f>
        <x:v>0.15</x:v>
      </x:c>
      <x:c r="D16" s="18" t="n">
        <x:f aca="0">$E$8*C16</x:f>
        <x:v>8872.5</x:v>
      </x:c>
      <x:c r="E16" s="37" t="n">
        <x:f aca="0">D16-B16</x:f>
        <x:v>-1252.5</x:v>
      </x:c>
      <x:c r="F16" s="15" t="str">
        <x:f aca="0">IF(E16&gt;=0,"BUY","SELL")</x:f>
        <x:v>SELL</x:v>
      </x:c>
    </x:row>
    <x:row r="17" ht="15" hidden="0">
      <x:c r="A17" s="11" t="s">
        <x:v>237</x:v>
      </x:c>
      <x:c r="E17" s="28" t="n">
        <x:f aca="0">SUM(E13:E16)</x:f>
        <x:v>3.637978807091713e-12</x:v>
      </x:c>
    </x:row>
  </x:sheetData>
  <x:mergeCells>
    <x:mergeCell ref="A1:F1"/>
    <x:mergeCell ref="A11:F1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20" style="1" hidden="0" customWidth="1"/>
    <x:col min="2" max="2" width="14" style="1" hidden="0" customWidth="1"/>
    <x:col min="3" max="4" width="16" style="1" hidden="0" customWidth="1"/>
  </x:cols>
  <x:sheetData>
    <x:row r="1" ht="17.350000381469727" hidden="0">
      <x:c r="A1" s="2" t="s">
        <x:v>238</x:v>
      </x:c>
      <x:c r="B1" s="2"/>
      <x:c r="C1" s="2"/>
      <x:c r="D1" s="2"/>
    </x:row>
    <x:row r="3" ht="15" hidden="0" customHeight="1">
      <x:c r="A3" s="1" t="s">
        <x:v>239</x:v>
      </x:c>
      <x:c r="B3" s="12" t="n">
        <x:v>6000</x:v>
      </x:c>
      <x:c r="C3" s="10" t="s">
        <x:v>240</x:v>
      </x:c>
      <x:c r="D3" s="10"/>
    </x:row>
    <x:row r="4" ht="15" hidden="0">
      <x:c r="A4" s="1" t="s">
        <x:v>241</x:v>
      </x:c>
      <x:c r="B4" s="12" t="n">
        <x:v>500</x:v>
      </x:c>
      <x:c r="C4" s="10"/>
      <x:c r="D4" s="10"/>
    </x:row>
    <x:row r="6" ht="39.54999923706055" hidden="0">
      <x:c r="A6" s="14" t="s">
        <x:v>242</x:v>
      </x:c>
      <x:c r="B6" s="14" t="s">
        <x:v>243</x:v>
      </x:c>
      <x:c r="C6" s="14" t="s">
        <x:v>244</x:v>
      </x:c>
      <x:c r="D6" s="14"/>
      <x:c r="E6" s="14"/>
    </x:row>
    <x:row r="7" ht="15" hidden="0">
      <x:c r="A7" s="15" t="n">
        <x:v>1</x:v>
      </x:c>
      <x:c r="B7" s="20" t="n">
        <x:v>0.01</x:v>
      </x:c>
      <x:c r="C7" s="20" t="n">
        <x:v>-0.03</x:v>
      </x:c>
    </x:row>
    <x:row r="8" ht="15" hidden="0">
      <x:c r="A8" s="15" t="n">
        <x:v>2</x:v>
      </x:c>
      <x:c r="B8" s="20" t="n">
        <x:v>0.01</x:v>
      </x:c>
      <x:c r="C8" s="20" t="n">
        <x:v>-0.02</x:v>
      </x:c>
    </x:row>
    <x:row r="9" ht="15" hidden="0">
      <x:c r="A9" s="15" t="n">
        <x:v>3</x:v>
      </x:c>
      <x:c r="B9" s="20" t="n">
        <x:v>0.01</x:v>
      </x:c>
      <x:c r="C9" s="20" t="n">
        <x:v>0.01</x:v>
      </x:c>
    </x:row>
    <x:row r="10" ht="15" hidden="0">
      <x:c r="A10" s="15" t="n">
        <x:v>4</x:v>
      </x:c>
      <x:c r="B10" s="20" t="n">
        <x:v>0.01</x:v>
      </x:c>
      <x:c r="C10" s="20" t="n">
        <x:v>0.02</x:v>
      </x:c>
    </x:row>
    <x:row r="11" ht="15" hidden="0">
      <x:c r="A11" s="15" t="n">
        <x:v>5</x:v>
      </x:c>
      <x:c r="B11" s="20" t="n">
        <x:v>0.01</x:v>
      </x:c>
      <x:c r="C11" s="20" t="n">
        <x:v>0.015</x:v>
      </x:c>
    </x:row>
    <x:row r="12" ht="15" hidden="0">
      <x:c r="A12" s="15" t="n">
        <x:v>6</x:v>
      </x:c>
      <x:c r="B12" s="20" t="n">
        <x:v>0.01</x:v>
      </x:c>
      <x:c r="C12" s="20" t="n">
        <x:v>0.01</x:v>
      </x:c>
    </x:row>
    <x:row r="13" ht="15" hidden="0">
      <x:c r="A13" s="15" t="n">
        <x:v>7</x:v>
      </x:c>
      <x:c r="B13" s="20" t="n">
        <x:v>0.01</x:v>
      </x:c>
      <x:c r="C13" s="20" t="n">
        <x:v>0.02</x:v>
      </x:c>
    </x:row>
    <x:row r="14" ht="15" hidden="0">
      <x:c r="A14" s="15" t="n">
        <x:v>8</x:v>
      </x:c>
      <x:c r="B14" s="20" t="n">
        <x:v>0.01</x:v>
      </x:c>
      <x:c r="C14" s="20" t="n">
        <x:v>0.02</x:v>
      </x:c>
    </x:row>
    <x:row r="15" ht="15" hidden="0">
      <x:c r="A15" s="15" t="n">
        <x:v>9</x:v>
      </x:c>
      <x:c r="B15" s="20" t="n">
        <x:v>0.01</x:v>
      </x:c>
      <x:c r="C15" s="20" t="n">
        <x:v>0.015</x:v>
      </x:c>
    </x:row>
    <x:row r="16" ht="15" hidden="0">
      <x:c r="A16" s="15" t="n">
        <x:v>10</x:v>
      </x:c>
      <x:c r="B16" s="20" t="n">
        <x:v>0.01</x:v>
      </x:c>
      <x:c r="C16" s="20" t="n">
        <x:v>0.01</x:v>
      </x:c>
    </x:row>
    <x:row r="17" ht="15" hidden="0">
      <x:c r="A17" s="15" t="n">
        <x:v>11</x:v>
      </x:c>
      <x:c r="B17" s="20" t="n">
        <x:v>0.01</x:v>
      </x:c>
      <x:c r="C17" s="20" t="n">
        <x:v>0.01</x:v>
      </x:c>
    </x:row>
    <x:row r="18" ht="15" hidden="0">
      <x:c r="A18" s="15" t="n">
        <x:v>12</x:v>
      </x:c>
      <x:c r="B18" s="20" t="n">
        <x:v>0.01</x:v>
      </x:c>
      <x:c r="C18" s="20" t="n">
        <x:v>0.02</x:v>
      </x:c>
    </x:row>
    <x:row r="20" ht="15" hidden="0">
      <x:c r="A20" s="4" t="s">
        <x:v>245</x:v>
      </x:c>
      <x:c r="B20" s="28" t="n">
        <x:f aca="0">$B$3*(1+B7)*(1+B8)*(1+B9)*(1+B10)*(1+B11)*(1+B12)*(1+B13)*(1+B14)*(1+B15)*(1+B16)*(1+B17)*(1+B18)</x:f>
        <x:v>6760.95018079182</x:v>
      </x:c>
    </x:row>
    <x:row r="21" ht="15" hidden="0">
      <x:c r="A21" s="4" t="s">
        <x:v>246</x:v>
      </x:c>
      <x:c r="B21" s="28" t="n">
        <x:f aca="0">$B$3*(1+C7)*(1+C8)*(1+C9)*(1+C10)*(1+C11)*(1+C12)*(1+C13)*(1+C14)*(1+C15)*(1+C16)*(1+C17)*(1+C18)</x:f>
        <x:v>6618.618166688488</x:v>
      </x:c>
    </x:row>
    <x:row r="23" ht="15" hidden="0">
      <x:c r="A23" s="4" t="s">
        <x:v>247</x:v>
      </x:c>
    </x:row>
    <x:row r="24" ht="39.54999923706055" hidden="0">
      <x:c r="A24" s="14" t="s">
        <x:v>242</x:v>
      </x:c>
      <x:c r="B24" s="14" t="s">
        <x:v>248</x:v>
      </x:c>
      <x:c r="C24" s="14" t="s">
        <x:v>249</x:v>
      </x:c>
      <x:c r="D24" s="14"/>
      <x:c r="E24" s="14"/>
    </x:row>
    <x:row r="25" ht="15" hidden="0">
      <x:c r="A25" s="15" t="n">
        <x:v>1</x:v>
      </x:c>
      <x:c r="B25" s="18" t="n">
        <x:f aca="0">($B$4)*(1+B7)</x:f>
        <x:v>505</x:v>
      </x:c>
      <x:c r="C25" s="18" t="n">
        <x:f aca="0">($B$4)*(1+C7)</x:f>
        <x:v>485</x:v>
      </x:c>
    </x:row>
    <x:row r="26" ht="15" hidden="0">
      <x:c r="A26" s="15" t="n">
        <x:v>2</x:v>
      </x:c>
      <x:c r="B26" s="18" t="n">
        <x:f aca="0">(B25+$B$4)*(1+B8)</x:f>
        <x:v>1015.05</x:v>
      </x:c>
      <x:c r="C26" s="18" t="n">
        <x:f aca="0">(C25+$B$4)*(1+C8)</x:f>
        <x:v>965.3</x:v>
      </x:c>
    </x:row>
    <x:row r="27" ht="15" hidden="0">
      <x:c r="A27" s="15" t="n">
        <x:v>3</x:v>
      </x:c>
      <x:c r="B27" s="18" t="n">
        <x:f aca="0">(B26+$B$4)*(1+B9)</x:f>
        <x:v>1530.2005</x:v>
      </x:c>
      <x:c r="C27" s="18" t="n">
        <x:f aca="0">(C26+$B$4)*(1+C9)</x:f>
        <x:v>1479.953</x:v>
      </x:c>
    </x:row>
    <x:row r="28" ht="15" hidden="0">
      <x:c r="A28" s="15" t="n">
        <x:v>4</x:v>
      </x:c>
      <x:c r="B28" s="18" t="n">
        <x:f aca="0">(B27+$B$4)*(1+B10)</x:f>
        <x:v>2050.502505</x:v>
      </x:c>
      <x:c r="C28" s="18" t="n">
        <x:f aca="0">(C27+$B$4)*(1+C10)</x:f>
        <x:v>2019.55206</x:v>
      </x:c>
    </x:row>
    <x:row r="29" ht="15" hidden="0">
      <x:c r="A29" s="15" t="n">
        <x:v>5</x:v>
      </x:c>
      <x:c r="B29" s="18" t="n">
        <x:f aca="0">(B28+$B$4)*(1+B11)</x:f>
        <x:v>2576.00753005</x:v>
      </x:c>
      <x:c r="C29" s="18" t="n">
        <x:f aca="0">(C28+$B$4)*(1+C11)</x:f>
        <x:v>2557.3453409</x:v>
      </x:c>
    </x:row>
    <x:row r="30" ht="15" hidden="0">
      <x:c r="A30" s="15" t="n">
        <x:v>6</x:v>
      </x:c>
      <x:c r="B30" s="18" t="n">
        <x:f aca="0">(B29+$B$4)*(1+B12)</x:f>
        <x:v>3106.7676053504997</x:v>
      </x:c>
      <x:c r="C30" s="18" t="n">
        <x:f aca="0">(C29+$B$4)*(1+C12)</x:f>
        <x:v>3087.918794309</x:v>
      </x:c>
    </x:row>
    <x:row r="31" ht="15" hidden="0">
      <x:c r="A31" s="15" t="n">
        <x:v>7</x:v>
      </x:c>
      <x:c r="B31" s="18" t="n">
        <x:f aca="0">(B30+$B$4)*(1+B13)</x:f>
        <x:v>3642.835281404005</x:v>
      </x:c>
      <x:c r="C31" s="18" t="n">
        <x:f aca="0">(C30+$B$4)*(1+C13)</x:f>
        <x:v>3659.67717019518</x:v>
      </x:c>
    </x:row>
    <x:row r="32" ht="15" hidden="0">
      <x:c r="A32" s="15" t="n">
        <x:v>8</x:v>
      </x:c>
      <x:c r="B32" s="18" t="n">
        <x:f aca="0">(B31+$B$4)*(1+B14)</x:f>
        <x:v>4184.263634218045</x:v>
      </x:c>
      <x:c r="C32" s="18" t="n">
        <x:f aca="0">(C31+$B$4)*(1+C14)</x:f>
        <x:v>4242.8707135990835</x:v>
      </x:c>
    </x:row>
    <x:row r="33" ht="15" hidden="0">
      <x:c r="A33" s="15" t="n">
        <x:v>9</x:v>
      </x:c>
      <x:c r="B33" s="18" t="n">
        <x:f aca="0">(B32+$B$4)*(1+B15)</x:f>
        <x:v>4731.106270560225</x:v>
      </x:c>
      <x:c r="C33" s="18" t="n">
        <x:f aca="0">(C32+$B$4)*(1+C15)</x:f>
        <x:v>4814.013774303069</x:v>
      </x:c>
    </x:row>
    <x:row r="34" ht="15" hidden="0">
      <x:c r="A34" s="15" t="n">
        <x:v>10</x:v>
      </x:c>
      <x:c r="B34" s="18" t="n">
        <x:f aca="0">(B33+$B$4)*(1+B16)</x:f>
        <x:v>5283.417333265827</x:v>
      </x:c>
      <x:c r="C34" s="18" t="n">
        <x:f aca="0">(C33+$B$4)*(1+C16)</x:f>
        <x:v>5367.1539120461</x:v>
      </x:c>
    </x:row>
    <x:row r="35" ht="15" hidden="0">
      <x:c r="A35" s="15" t="n">
        <x:v>11</x:v>
      </x:c>
      <x:c r="B35" s="18" t="n">
        <x:f aca="0">(B34+$B$4)*(1+B17)</x:f>
        <x:v>5841.251506598485</x:v>
      </x:c>
      <x:c r="C35" s="18" t="n">
        <x:f aca="0">(C34+$B$4)*(1+C17)</x:f>
        <x:v>5925.825451166561</x:v>
      </x:c>
    </x:row>
    <x:row r="36" ht="15" hidden="0">
      <x:c r="A36" s="15" t="n">
        <x:v>12</x:v>
      </x:c>
      <x:c r="B36" s="18" t="n">
        <x:f aca="0">(B35+$B$4)*(1+B18)</x:f>
        <x:v>6404.66402166447</x:v>
      </x:c>
      <x:c r="C36" s="18" t="n">
        <x:f aca="0">(C35+$B$4)*(1+C18)</x:f>
        <x:v>6554.341960189892</x:v>
      </x:c>
    </x:row>
    <x:row r="38" ht="15" hidden="0">
      <x:c r="A38" s="4" t="s">
        <x:v>250</x:v>
      </x:c>
    </x:row>
    <x:row r="39" ht="26.850000381469727" hidden="0">
      <x:c r="A39" s="14" t="s">
        <x:v>251</x:v>
      </x:c>
      <x:c r="B39" s="14" t="s">
        <x:v>252</x:v>
      </x:c>
      <x:c r="C39" s="14" t="s">
        <x:v>253</x:v>
      </x:c>
      <x:c r="D39" s="14" t="s">
        <x:v>254</x:v>
      </x:c>
    </x:row>
    <x:row r="40" ht="15" hidden="0">
      <x:c r="A40" s="15" t="s">
        <x:v>255</x:v>
      </x:c>
      <x:c r="B40" s="51" t="n">
        <x:f aca="0">B20</x:f>
        <x:v>6760.95018079182</x:v>
      </x:c>
      <x:c r="C40" s="51" t="n">
        <x:f aca="0">B36</x:f>
        <x:v>6404.66402166447</x:v>
      </x:c>
      <x:c r="D40" s="37" t="n">
        <x:f aca="0">B40-C40</x:f>
        <x:v>356.2861591273495</x:v>
      </x:c>
    </x:row>
    <x:row r="41" ht="15" hidden="0">
      <x:c r="A41" s="15" t="s">
        <x:v>256</x:v>
      </x:c>
      <x:c r="B41" s="51" t="n">
        <x:f aca="0">B21</x:f>
        <x:v>6618.618166688488</x:v>
      </x:c>
      <x:c r="C41" s="51" t="n">
        <x:f aca="0">C36</x:f>
        <x:v>6554.341960189892</x:v>
      </x:c>
      <x:c r="D41" s="37" t="n">
        <x:f aca="0">B41-C41</x:f>
        <x:v>64.27620649859546</x:v>
      </x:c>
    </x:row>
  </x:sheetData>
  <x:mergeCells>
    <x:mergeCell ref="A1:D1"/>
    <x:mergeCell ref="C3:D4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0" style="1" hidden="0" customWidth="1"/>
    <x:col min="2" max="2" width="14" style="1" hidden="0" customWidth="1"/>
    <x:col min="3" max="3" width="16" style="1" hidden="0" customWidth="1"/>
    <x:col min="4" max="4" width="14" style="1" hidden="0" customWidth="1"/>
    <x:col min="5" max="5" width="16" style="1" hidden="0" customWidth="1"/>
  </x:cols>
  <x:sheetData>
    <x:row r="1" ht="17.350000381469727" hidden="0">
      <x:c r="A1" s="2" t="s">
        <x:v>257</x:v>
      </x:c>
      <x:c r="B1" s="2"/>
      <x:c r="C1" s="2"/>
      <x:c r="D1" s="2"/>
      <x:c r="E1" s="2"/>
    </x:row>
    <x:row r="3" ht="15" hidden="0">
      <x:c r="A3" s="1" t="s">
        <x:v>227</x:v>
      </x:c>
      <x:c r="B3" s="12" t="n">
        <x:v>1000000</x:v>
      </x:c>
    </x:row>
    <x:row r="4" ht="15" hidden="0">
      <x:c r="A4" s="53" t="s">
        <x:v>258</x:v>
      </x:c>
      <x:c r="B4" s="12" t="n">
        <x:v>45000</x:v>
      </x:c>
    </x:row>
    <x:row r="5" ht="15" hidden="0">
      <x:c r="A5" s="53"/>
    </x:row>
    <x:row r="7" ht="39.54999923706055" hidden="0">
      <x:c r="A7" s="14" t="s">
        <x:v>259</x:v>
      </x:c>
      <x:c r="B7" s="14" t="s">
        <x:v>260</x:v>
      </x:c>
      <x:c r="C7" s="14" t="s">
        <x:v>261</x:v>
      </x:c>
      <x:c r="D7" s="14" t="s">
        <x:v>262</x:v>
      </x:c>
      <x:c r="E7" s="14" t="s">
        <x:v>263</x:v>
      </x:c>
    </x:row>
    <x:row r="8" ht="15" hidden="0">
      <x:c r="A8" s="15" t="n">
        <x:v>0</x:v>
      </x:c>
      <x:c r="B8" s="22"/>
      <x:c r="C8" s="18" t="n">
        <x:f aca="0">$B$3</x:f>
        <x:v>1000000</x:v>
      </x:c>
      <x:c r="D8" s="22"/>
      <x:c r="E8" s="18" t="n">
        <x:f aca="0">$B$3</x:f>
        <x:v>1000000</x:v>
      </x:c>
    </x:row>
    <x:row r="9" ht="15" hidden="0">
      <x:c r="A9" s="15" t="n">
        <x:v>1</x:v>
      </x:c>
      <x:c r="B9" s="20" t="n">
        <x:v>-0.2</x:v>
      </x:c>
      <x:c r="C9" s="18" t="n">
        <x:f aca="0">MAX(0,C8*(1+B9)-$B$4)</x:f>
        <x:v>755000</x:v>
      </x:c>
      <x:c r="D9" s="20" t="n">
        <x:v>0.12</x:v>
      </x:c>
      <x:c r="E9" s="18" t="n">
        <x:f aca="0">MAX(0,E8*(1+D9)-$B$4)</x:f>
        <x:v>1075000</x:v>
      </x:c>
    </x:row>
    <x:row r="10" ht="15" hidden="0">
      <x:c r="A10" s="15" t="n">
        <x:v>2</x:v>
      </x:c>
      <x:c r="B10" s="20" t="n">
        <x:v>-0.15</x:v>
      </x:c>
      <x:c r="C10" s="18" t="n">
        <x:f aca="0">MAX(0,C9*(1+B10)-$B$4)</x:f>
        <x:v>596750</x:v>
      </x:c>
      <x:c r="D10" s="20" t="n">
        <x:v>0.1</x:v>
      </x:c>
      <x:c r="E10" s="18" t="n">
        <x:f aca="0">MAX(0,E9*(1+D10)-$B$4)</x:f>
        <x:v>1137500</x:v>
      </x:c>
    </x:row>
    <x:row r="11" ht="15" hidden="0">
      <x:c r="A11" s="15" t="n">
        <x:v>3</x:v>
      </x:c>
      <x:c r="B11" s="20" t="n">
        <x:v>0.12</x:v>
      </x:c>
      <x:c r="C11" s="18" t="n">
        <x:f aca="0">MAX(0,C10*(1+B11)-$B$4)</x:f>
        <x:v>623360.0000000001</x:v>
      </x:c>
      <x:c r="D11" s="20" t="n">
        <x:v>0.08</x:v>
      </x:c>
      <x:c r="E11" s="18" t="n">
        <x:f aca="0">MAX(0,E10*(1+D11)-$B$4)</x:f>
        <x:v>1183500</x:v>
      </x:c>
    </x:row>
    <x:row r="12" ht="15" hidden="0">
      <x:c r="A12" s="15" t="n">
        <x:v>4</x:v>
      </x:c>
      <x:c r="B12" s="20" t="n">
        <x:v>0.1</x:v>
      </x:c>
      <x:c r="C12" s="18" t="n">
        <x:f aca="0">MAX(0,C11*(1+B12)-$B$4)</x:f>
        <x:v>640696.0000000002</x:v>
      </x:c>
      <x:c r="D12" s="20" t="n">
        <x:v>0.06</x:v>
      </x:c>
      <x:c r="E12" s="18" t="n">
        <x:f aca="0">MAX(0,E11*(1+D12)-$B$4)</x:f>
        <x:v>1209510</x:v>
      </x:c>
    </x:row>
    <x:row r="13" ht="15" hidden="0">
      <x:c r="A13" s="15" t="n">
        <x:v>5</x:v>
      </x:c>
      <x:c r="B13" s="20" t="n">
        <x:v>0.08</x:v>
      </x:c>
      <x:c r="C13" s="18" t="n">
        <x:f aca="0">MAX(0,C12*(1+B13)-$B$4)</x:f>
        <x:v>646951.6800000003</x:v>
      </x:c>
      <x:c r="D13" s="20" t="n">
        <x:v>0.07</x:v>
      </x:c>
      <x:c r="E13" s="18" t="n">
        <x:f aca="0">MAX(0,E12*(1+D13)-$B$4)</x:f>
        <x:v>1249175.7000000002</x:v>
      </x:c>
    </x:row>
    <x:row r="14" ht="15" hidden="0">
      <x:c r="A14" s="15" t="n">
        <x:v>6</x:v>
      </x:c>
      <x:c r="B14" s="20" t="n">
        <x:v>0.06</x:v>
      </x:c>
      <x:c r="C14" s="18" t="n">
        <x:f aca="0">MAX(0,C13*(1+B14)-$B$4)</x:f>
        <x:v>640768.7808000003</x:v>
      </x:c>
      <x:c r="D14" s="20" t="n">
        <x:v>0.09</x:v>
      </x:c>
      <x:c r="E14" s="18" t="n">
        <x:f aca="0">MAX(0,E13*(1+D14)-$B$4)</x:f>
        <x:v>1316601.5130000003</x:v>
      </x:c>
    </x:row>
    <x:row r="15" ht="15" hidden="0">
      <x:c r="A15" s="15" t="n">
        <x:v>7</x:v>
      </x:c>
      <x:c r="B15" s="20" t="n">
        <x:v>0.07</x:v>
      </x:c>
      <x:c r="C15" s="18" t="n">
        <x:f aca="0">MAX(0,C14*(1+B15)-$B$4)</x:f>
        <x:v>640622.5954560004</x:v>
      </x:c>
      <x:c r="D15" s="20" t="n">
        <x:v>0.05</x:v>
      </x:c>
      <x:c r="E15" s="18" t="n">
        <x:f aca="0">MAX(0,E14*(1+D15)-$B$4)</x:f>
        <x:v>1337431.5886500003</x:v>
      </x:c>
    </x:row>
    <x:row r="16" ht="15" hidden="0">
      <x:c r="A16" s="15" t="n">
        <x:v>8</x:v>
      </x:c>
      <x:c r="B16" s="20" t="n">
        <x:v>0.09</x:v>
      </x:c>
      <x:c r="C16" s="18" t="n">
        <x:f aca="0">MAX(0,C15*(1+B16)-$B$4)</x:f>
        <x:v>653278.6290470405</x:v>
      </x:c>
      <x:c r="D16" s="20" t="n">
        <x:v>0.11</x:v>
      </x:c>
      <x:c r="E16" s="18" t="n">
        <x:f aca="0">MAX(0,E15*(1+D16)-$B$4)</x:f>
        <x:v>1439549.0634015005</x:v>
      </x:c>
    </x:row>
    <x:row r="17" ht="15" hidden="0">
      <x:c r="A17" s="15" t="n">
        <x:v>9</x:v>
      </x:c>
      <x:c r="B17" s="20" t="n">
        <x:v>0.05</x:v>
      </x:c>
      <x:c r="C17" s="18" t="n">
        <x:f aca="0">MAX(0,C16*(1+B17)-$B$4)</x:f>
        <x:v>640942.5604993926</x:v>
      </x:c>
      <x:c r="D17" s="20" t="n">
        <x:v>-0.2</x:v>
      </x:c>
      <x:c r="E17" s="18" t="n">
        <x:f aca="0">MAX(0,E16*(1+D17)-$B$4)</x:f>
        <x:v>1106639.2507212004</x:v>
      </x:c>
    </x:row>
    <x:row r="18" ht="15" hidden="0">
      <x:c r="A18" s="15" t="n">
        <x:v>10</x:v>
      </x:c>
      <x:c r="B18" s="20" t="n">
        <x:v>0.11</x:v>
      </x:c>
      <x:c r="C18" s="18" t="n">
        <x:f aca="0">MAX(0,C17*(1+B18)-$B$4)</x:f>
        <x:v>666446.2421543258</x:v>
      </x:c>
      <x:c r="D18" s="20" t="n">
        <x:v>-0.15</x:v>
      </x:c>
      <x:c r="E18" s="18" t="n">
        <x:f aca="0">MAX(0,E17*(1+D18)-$B$4)</x:f>
        <x:v>895643.3631130203</x:v>
      </x:c>
    </x:row>
    <x:row r="20" ht="15" hidden="0">
      <x:c r="A20" s="11" t="s">
        <x:v>264</x:v>
      </x:c>
      <x:c r="B20" s="34" t="n">
        <x:f aca="0">AVERAGE(B9:B18)</x:f>
        <x:v>0.033</x:v>
      </x:c>
      <x:c r="D20" s="34" t="n">
        <x:f aca="0">AVERAGE(D9:D18)</x:f>
        <x:v>0.03300000000000001</x:v>
      </x:c>
    </x:row>
    <x:row r="21" ht="15" hidden="0">
      <x:c r="A21" s="4" t="s">
        <x:v>265</x:v>
      </x:c>
      <x:c r="C21" s="28" t="n">
        <x:f aca="0">C18</x:f>
        <x:v>666446.2421543258</x:v>
      </x:c>
    </x:row>
    <x:row r="22" ht="15" hidden="0">
      <x:c r="A22" s="4" t="s">
        <x:v>266</x:v>
      </x:c>
      <x:c r="E22" s="28" t="n">
        <x:f aca="0">E18</x:f>
        <x:v>895643.3631130203</x:v>
      </x:c>
    </x:row>
    <x:row r="23" ht="15" hidden="0">
      <x:c r="A23" s="4" t="s">
        <x:v>267</x:v>
      </x:c>
      <x:c r="C23" s="28" t="n">
        <x:f aca="0">E18-C18</x:f>
        <x:v>229197.1209586945</x:v>
      </x:c>
    </x:row>
    <x:row r="25" ht="15" hidden="0" customHeight="1">
      <x:c r="A25" s="10" t="s">
        <x:v>268</x:v>
      </x:c>
      <x:c r="B25" s="10"/>
      <x:c r="C25" s="10"/>
      <x:c r="D25" s="10"/>
      <x:c r="E25" s="10"/>
    </x:row>
    <x:row r="26" ht="15" hidden="0">
      <x:c r="A26" s="10"/>
      <x:c r="B26" s="10"/>
      <x:c r="C26" s="10"/>
      <x:c r="D26" s="10"/>
      <x:c r="E26" s="10"/>
    </x:row>
    <x:row r="27" ht="15" hidden="0">
      <x:c r="A27" s="10"/>
      <x:c r="B27" s="10"/>
      <x:c r="C27" s="10"/>
      <x:c r="D27" s="10"/>
      <x:c r="E27" s="10"/>
    </x:row>
  </x:sheetData>
  <x:mergeCells>
    <x:mergeCell ref="A1:E1"/>
    <x:mergeCell ref="A4:A5"/>
    <x:mergeCell ref="A25:E27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4" style="1" hidden="0" customWidth="1"/>
    <x:col min="2" max="2" width="16" style="1" hidden="0" customWidth="1"/>
    <x:col min="3" max="3" width="18" style="1" hidden="0" customWidth="1"/>
    <x:col min="4" max="4" width="16" style="1" hidden="0" customWidth="1"/>
  </x:cols>
  <x:sheetData>
    <x:row r="1" ht="17.350000381469727" hidden="0">
      <x:c r="A1" s="2" t="s">
        <x:v>269</x:v>
      </x:c>
      <x:c r="B1" s="2"/>
      <x:c r="C1" s="2"/>
      <x:c r="D1" s="2"/>
    </x:row>
    <x:row r="3" ht="15" hidden="0">
      <x:c r="A3" s="1" t="s">
        <x:v>270</x:v>
      </x:c>
      <x:c r="B3" s="12" t="n">
        <x:v>50000</x:v>
      </x:c>
    </x:row>
    <x:row r="4" ht="15" hidden="0">
      <x:c r="A4" s="1" t="s">
        <x:v>271</x:v>
      </x:c>
      <x:c r="B4" s="12" t="n">
        <x:v>500</x:v>
      </x:c>
    </x:row>
    <x:row r="5" ht="15" hidden="0">
      <x:c r="A5" s="1" t="str">
        <x:v>Assumed gross annual return (illustrative)</x:v>
      </x:c>
      <x:c r="B5" s="13" t="n">
        <x:v>0.08</x:v>
      </x:c>
    </x:row>
    <x:row r="6" ht="15" hidden="0">
      <x:c r="A6" s="1" t="str">
        <x:v>Equivalent monthly net rate after blended expense ratio</x:v>
      </x:c>
      <x:c r="B6" s="54" t="n">
        <x:f aca="0">((1+B5)*(1-B7))^(1/12)-1</x:f>
        <x:v>0.006354319369278549</x:v>
      </x:c>
    </x:row>
    <x:row r="7" ht="15" hidden="0">
      <x:c r="A7" s="1" t="str">
        <x:v>Blended expense ratio (growth-oriented variant)</x:v>
      </x:c>
      <x:c r="B7" s="55" t="n">
        <x:f aca="0">'P2 - Blended ER'!C22</x:f>
        <x:v>0.00095</x:v>
      </x:c>
    </x:row>
    <x:row r="9" ht="26.850000381469727" hidden="0">
      <x:c r="A9" s="14" t="s">
        <x:v>242</x:v>
      </x:c>
      <x:c r="B9" s="14" t="s">
        <x:v>272</x:v>
      </x:c>
      <x:c r="C9" s="14" t="s">
        <x:v>273</x:v>
      </x:c>
      <x:c r="D9" s="14"/>
    </x:row>
    <x:row r="10" ht="15" hidden="1">
      <x:c r="A10" s="11" t="n">
        <x:v>1</x:v>
      </x:c>
      <x:c r="B10" s="25" t="n">
        <x:f aca="0">$B$3*(1+$B$6)+$B$4</x:f>
        <x:v>50817.71596846393</x:v>
      </x:c>
      <x:c r="C10" s="25" t="n">
        <x:f aca="0">$B$3+$B$4</x:f>
        <x:v>50500</x:v>
      </x:c>
    </x:row>
    <x:row r="11" ht="15" hidden="1">
      <x:c r="A11" s="11" t="n">
        <x:v>2</x:v>
      </x:c>
      <x:c r="B11" s="25" t="n">
        <x:f aca="0">B10*(1+$B$6)+$B$4</x:f>
        <x:v>51640.62796534483</x:v>
      </x:c>
      <x:c r="C11" s="25" t="n">
        <x:f aca="0">C10+$B$4</x:f>
        <x:v>51000</x:v>
      </x:c>
    </x:row>
    <x:row r="12" ht="15" hidden="1">
      <x:c r="A12" s="11" t="n">
        <x:v>3</x:v>
      </x:c>
      <x:c r="B12" s="25" t="n">
        <x:f aca="0">B11*(1+$B$6)+$B$4</x:f>
        <x:v>52468.76900786673</x:v>
      </x:c>
      <x:c r="C12" s="25" t="n">
        <x:f aca="0">C11+$B$4</x:f>
        <x:v>51500</x:v>
      </x:c>
    </x:row>
    <x:row r="13" ht="15" hidden="1">
      <x:c r="A13" s="11" t="n">
        <x:v>4</x:v>
      </x:c>
      <x:c r="B13" s="25" t="n">
        <x:f aca="0">B12*(1+$B$6)+$B$4</x:f>
        <x:v>53302.172323055616</x:v>
      </x:c>
      <x:c r="C13" s="25" t="n">
        <x:f aca="0">C12+$B$4</x:f>
        <x:v>52000</x:v>
      </x:c>
    </x:row>
    <x:row r="14" ht="15" hidden="1">
      <x:c r="A14" s="11" t="n">
        <x:v>5</x:v>
      </x:c>
      <x:c r="B14" s="25" t="n">
        <x:f aca="0">B13*(1+$B$6)+$B$4</x:f>
        <x:v>54140.87134907263</x:v>
      </x:c>
      <x:c r="C14" s="25" t="n">
        <x:f aca="0">C13+$B$4</x:f>
        <x:v>52500</x:v>
      </x:c>
    </x:row>
    <x:row r="15" ht="15" hidden="1">
      <x:c r="A15" s="11" t="n">
        <x:v>6</x:v>
      </x:c>
      <x:c r="B15" s="25" t="n">
        <x:f aca="0">B14*(1+$B$6)+$B$4</x:f>
        <x:v>54984.89973655566</x:v>
      </x:c>
      <x:c r="C15" s="25" t="n">
        <x:f aca="0">C14+$B$4</x:f>
        <x:v>53000</x:v>
      </x:c>
    </x:row>
    <x:row r="16" ht="15" hidden="1">
      <x:c r="A16" s="11" t="n">
        <x:v>7</x:v>
      </x:c>
      <x:c r="B16" s="25" t="n">
        <x:f aca="0">B15*(1+$B$6)+$B$4</x:f>
        <x:v>55834.29134996949</x:v>
      </x:c>
      <x:c r="C16" s="25" t="n">
        <x:f aca="0">C15+$B$4</x:f>
        <x:v>53500</x:v>
      </x:c>
    </x:row>
    <x:row r="17" ht="15" hidden="1">
      <x:c r="A17" s="11" t="n">
        <x:v>8</x:v>
      </x:c>
      <x:c r="B17" s="25" t="n">
        <x:f aca="0">B16*(1+$B$6)+$B$4</x:f>
        <x:v>56689.08026896454</x:v>
      </x:c>
      <x:c r="C17" s="25" t="n">
        <x:f aca="0">C16+$B$4</x:f>
        <x:v>54000</x:v>
      </x:c>
    </x:row>
    <x:row r="18" ht="15" hidden="1">
      <x:c r="A18" s="11" t="n">
        <x:v>9</x:v>
      </x:c>
      <x:c r="B18" s="25" t="n">
        <x:f aca="0">B17*(1+$B$6)+$B$4</x:f>
        <x:v>57549.30078974421</x:v>
      </x:c>
      <x:c r="C18" s="25" t="n">
        <x:f aca="0">C17+$B$4</x:f>
        <x:v>54500</x:v>
      </x:c>
    </x:row>
    <x:row r="19" ht="15" hidden="1">
      <x:c r="A19" s="11" t="n">
        <x:v>10</x:v>
      </x:c>
      <x:c r="B19" s="25" t="n">
        <x:f aca="0">B18*(1+$B$6)+$B$4</x:f>
        <x:v>58414.987426440915</x:v>
      </x:c>
      <x:c r="C19" s="25" t="n">
        <x:f aca="0">C18+$B$4</x:f>
        <x:v>55000</x:v>
      </x:c>
    </x:row>
    <x:row r="20" ht="15" hidden="1">
      <x:c r="A20" s="11" t="n">
        <x:v>11</x:v>
      </x:c>
      <x:c r="B20" s="25" t="n">
        <x:f aca="0">B19*(1+$B$6)+$B$4</x:f>
        <x:v>59286.17491250091</x:v>
      </x:c>
      <x:c r="C20" s="25" t="n">
        <x:f aca="0">C19+$B$4</x:f>
        <x:v>55500</x:v>
      </x:c>
    </x:row>
    <x:row r="21" ht="15" hidden="1">
      <x:c r="A21" s="11" t="n">
        <x:v>12</x:v>
      </x:c>
      <x:c r="B21" s="25" t="n">
        <x:f aca="0">B20*(1+$B$6)+$B$4</x:f>
        <x:v>60162.89820207785</x:v>
      </x:c>
      <x:c r="C21" s="25" t="n">
        <x:f aca="0">C20+$B$4</x:f>
        <x:v>56000</x:v>
      </x:c>
    </x:row>
    <x:row r="22" ht="15" hidden="1">
      <x:c r="A22" s="11" t="n">
        <x:v>13</x:v>
      </x:c>
      <x:c r="B22" s="25" t="n">
        <x:f aca="0">B21*(1+$B$6)+$B$4</x:f>
        <x:v>61045.19247143525</x:v>
      </x:c>
      <x:c r="C22" s="25" t="n">
        <x:f aca="0">C21+$B$4</x:f>
        <x:v>56500</x:v>
      </x:c>
    </x:row>
    <x:row r="23" ht="15" hidden="1">
      <x:c r="A23" s="11" t="n">
        <x:v>14</x:v>
      </x:c>
      <x:c r="B23" s="25" t="n">
        <x:f aca="0">B22*(1+$B$6)+$B$4</x:f>
        <x:v>61933.09312035783</x:v>
      </x:c>
      <x:c r="C23" s="25" t="n">
        <x:f aca="0">C22+$B$4</x:f>
        <x:v>57000</x:v>
      </x:c>
    </x:row>
    <x:row r="24" ht="15" hidden="1">
      <x:c r="A24" s="11" t="n">
        <x:v>15</x:v>
      </x:c>
      <x:c r="B24" s="25" t="n">
        <x:f aca="0">B23*(1+$B$6)+$B$4</x:f>
        <x:v>62826.63577357185</x:v>
      </x:c>
      <x:c r="C24" s="25" t="n">
        <x:f aca="0">C23+$B$4</x:f>
        <x:v>57500</x:v>
      </x:c>
    </x:row>
    <x:row r="25" ht="15" hidden="1">
      <x:c r="A25" s="11" t="n">
        <x:v>16</x:v>
      </x:c>
      <x:c r="B25" s="25" t="n">
        <x:f aca="0">B24*(1+$B$6)+$B$4</x:f>
        <x:v>63725.85628217446</x:v>
      </x:c>
      <x:c r="C25" s="25" t="n">
        <x:f aca="0">C24+$B$4</x:f>
        <x:v>58000</x:v>
      </x:c>
    </x:row>
    <x:row r="26" ht="15" hidden="1">
      <x:c r="A26" s="11" t="n">
        <x:v>17</x:v>
      </x:c>
      <x:c r="B26" s="25" t="n">
        <x:f aca="0">B25*(1+$B$6)+$B$4</x:f>
        <x:v>64630.79072507215</x:v>
      </x:c>
      <x:c r="C26" s="25" t="n">
        <x:f aca="0">C25+$B$4</x:f>
        <x:v>58500</x:v>
      </x:c>
    </x:row>
    <x:row r="27" ht="15" hidden="1">
      <x:c r="A27" s="11" t="n">
        <x:v>18</x:v>
      </x:c>
      <x:c r="B27" s="25" t="n">
        <x:f aca="0">B26*(1+$B$6)+$B$4</x:f>
        <x:v>65541.47541042826</x:v>
      </x:c>
      <x:c r="C27" s="25" t="n">
        <x:f aca="0">C26+$B$4</x:f>
        <x:v>59000</x:v>
      </x:c>
    </x:row>
    <x:row r="28" ht="15" hidden="1">
      <x:c r="A28" s="11" t="n">
        <x:v>19</x:v>
      </x:c>
      <x:c r="B28" s="25" t="n">
        <x:f aca="0">B27*(1+$B$6)+$B$4</x:f>
        <x:v>66457.94687711984</x:v>
      </x:c>
      <x:c r="C28" s="25" t="n">
        <x:f aca="0">C27+$B$4</x:f>
        <x:v>59500</x:v>
      </x:c>
    </x:row>
    <x:row r="29" ht="15" hidden="1">
      <x:c r="A29" s="11" t="n">
        <x:v>20</x:v>
      </x:c>
      <x:c r="B29" s="25" t="n">
        <x:f aca="0">B28*(1+$B$6)+$B$4</x:f>
        <x:v>67380.24189620362</x:v>
      </x:c>
      <x:c r="C29" s="25" t="n">
        <x:f aca="0">C28+$B$4</x:f>
        <x:v>60000</x:v>
      </x:c>
    </x:row>
    <x:row r="30" ht="15" hidden="1">
      <x:c r="A30" s="11" t="n">
        <x:v>21</x:v>
      </x:c>
      <x:c r="B30" s="25" t="n">
        <x:f aca="0">B29*(1+$B$6)+$B$4</x:f>
        <x:v>68308.39747239134</x:v>
      </x:c>
      <x:c r="C30" s="25" t="n">
        <x:f aca="0">C29+$B$4</x:f>
        <x:v>60500</x:v>
      </x:c>
    </x:row>
    <x:row r="31" ht="15" hidden="1">
      <x:c r="A31" s="11" t="n">
        <x:v>22</x:v>
      </x:c>
      <x:c r="B31" s="25" t="n">
        <x:f aca="0">B30*(1+$B$6)+$B$4</x:f>
        <x:v>69242.45084553453</x:v>
      </x:c>
      <x:c r="C31" s="25" t="n">
        <x:f aca="0">C30+$B$4</x:f>
        <x:v>61000</x:v>
      </x:c>
    </x:row>
    <x:row r="32" ht="15" hidden="1">
      <x:c r="A32" s="11" t="n">
        <x:v>23</x:v>
      </x:c>
      <x:c r="B32" s="25" t="n">
        <x:f aca="0">B31*(1+$B$6)+$B$4</x:f>
        <x:v>70182.43949211863</x:v>
      </x:c>
      <x:c r="C32" s="25" t="n">
        <x:f aca="0">C31+$B$4</x:f>
        <x:v>61500</x:v>
      </x:c>
    </x:row>
    <x:row r="33" ht="15" hidden="1">
      <x:c r="A33" s="11" t="n">
        <x:v>24</x:v>
      </x:c>
      <x:c r="B33" s="25" t="n">
        <x:f aca="0">B32*(1+$B$6)+$B$4</x:f>
        <x:v>71128.40112676662</x:v>
      </x:c>
      <x:c r="C33" s="25" t="n">
        <x:f aca="0">C32+$B$4</x:f>
        <x:v>62000</x:v>
      </x:c>
    </x:row>
    <x:row r="34" ht="15" hidden="1">
      <x:c r="A34" s="11" t="n">
        <x:v>25</x:v>
      </x:c>
      <x:c r="B34" s="25" t="n">
        <x:f aca="0">B33*(1+$B$6)+$B$4</x:f>
        <x:v>72080.37370375225</x:v>
      </x:c>
      <x:c r="C34" s="25" t="n">
        <x:f aca="0">C33+$B$4</x:f>
        <x:v>62500</x:v>
      </x:c>
    </x:row>
    <x:row r="35" ht="15" hidden="1">
      <x:c r="A35" s="11" t="n">
        <x:v>26</x:v>
      </x:c>
      <x:c r="B35" s="25" t="n">
        <x:f aca="0">B34*(1+$B$6)+$B$4</x:f>
        <x:v>73038.39541852284</x:v>
      </x:c>
      <x:c r="C35" s="25" t="n">
        <x:f aca="0">C34+$B$4</x:f>
        <x:v>63000</x:v>
      </x:c>
    </x:row>
    <x:row r="36" ht="15" hidden="1">
      <x:c r="A36" s="11" t="n">
        <x:v>27</x:v>
      </x:c>
      <x:c r="B36" s="25" t="n">
        <x:f aca="0">B35*(1+$B$6)+$B$4</x:f>
        <x:v>74002.50470923178</x:v>
      </x:c>
      <x:c r="C36" s="25" t="n">
        <x:f aca="0">C35+$B$4</x:f>
        <x:v>63500</x:v>
      </x:c>
    </x:row>
    <x:row r="37" ht="15" hidden="1">
      <x:c r="A37" s="11" t="n">
        <x:v>28</x:v>
      </x:c>
      <x:c r="B37" s="25" t="n">
        <x:f aca="0">B36*(1+$B$6)+$B$4</x:f>
        <x:v>74972.74025828078</x:v>
      </x:c>
      <x:c r="C37" s="25" t="n">
        <x:f aca="0">C36+$B$4</x:f>
        <x:v>64000</x:v>
      </x:c>
    </x:row>
    <x:row r="38" ht="15" hidden="1">
      <x:c r="A38" s="11" t="n">
        <x:v>29</x:v>
      </x:c>
      <x:c r="B38" s="25" t="n">
        <x:f aca="0">B37*(1+$B$6)+$B$4</x:f>
        <x:v>75949.14099387187</x:v>
      </x:c>
      <x:c r="C38" s="25" t="n">
        <x:f aca="0">C37+$B$4</x:f>
        <x:v>64500</x:v>
      </x:c>
    </x:row>
    <x:row r="39" ht="15" hidden="1">
      <x:c r="A39" s="11" t="n">
        <x:v>30</x:v>
      </x:c>
      <x:c r="B39" s="25" t="n">
        <x:f aca="0">B38*(1+$B$6)+$B$4</x:f>
        <x:v>76931.7460915693</x:v>
      </x:c>
      <x:c r="C39" s="25" t="n">
        <x:f aca="0">C38+$B$4</x:f>
        <x:v>65000</x:v>
      </x:c>
    </x:row>
    <x:row r="40" ht="15" hidden="1">
      <x:c r="A40" s="11" t="n">
        <x:v>31</x:v>
      </x:c>
      <x:c r="B40" s="25" t="n">
        <x:f aca="0">B39*(1+$B$6)+$B$4</x:f>
        <x:v>77920.59497587137</x:v>
      </x:c>
      <x:c r="C40" s="25" t="n">
        <x:f aca="0">C39+$B$4</x:f>
        <x:v>65500</x:v>
      </x:c>
    </x:row>
    <x:row r="41" ht="15" hidden="1">
      <x:c r="A41" s="11" t="n">
        <x:v>32</x:v>
      </x:c>
      <x:c r="B41" s="25" t="n">
        <x:f aca="0">B40*(1+$B$6)+$B$4</x:f>
        <x:v>78915.72732179226</x:v>
      </x:c>
      <x:c r="C41" s="25" t="n">
        <x:f aca="0">C40+$B$4</x:f>
        <x:v>66000</x:v>
      </x:c>
    </x:row>
    <x:row r="42" ht="15" hidden="1">
      <x:c r="A42" s="11" t="n">
        <x:v>33</x:v>
      </x:c>
      <x:c r="B42" s="25" t="n">
        <x:f aca="0">B41*(1+$B$6)+$B$4</x:f>
        <x:v>79917.18305645382</x:v>
      </x:c>
      <x:c r="C42" s="25" t="n">
        <x:f aca="0">C41+$B$4</x:f>
        <x:v>66500</x:v>
      </x:c>
    </x:row>
    <x:row r="43" ht="15" hidden="1">
      <x:c r="A43" s="11" t="n">
        <x:v>34</x:v>
      </x:c>
      <x:c r="B43" s="25" t="n">
        <x:f aca="0">B42*(1+$B$6)+$B$4</x:f>
        <x:v>80925.00236068763</x:v>
      </x:c>
      <x:c r="C43" s="25" t="n">
        <x:f aca="0">C42+$B$4</x:f>
        <x:v>67000</x:v>
      </x:c>
    </x:row>
    <x:row r="44" ht="15" hidden="1">
      <x:c r="A44" s="11" t="n">
        <x:v>35</x:v>
      </x:c>
      <x:c r="B44" s="25" t="n">
        <x:f aca="0">B43*(1+$B$6)+$B$4</x:f>
        <x:v>81939.22567064707</x:v>
      </x:c>
      <x:c r="C44" s="25" t="n">
        <x:f aca="0">C43+$B$4</x:f>
        <x:v>67500</x:v>
      </x:c>
    </x:row>
    <x:row r="45" ht="15" hidden="1">
      <x:c r="A45" s="11" t="n">
        <x:v>36</x:v>
      </x:c>
      <x:c r="B45" s="25" t="n">
        <x:f aca="0">B44*(1+$B$6)+$B$4</x:f>
        <x:v>82959.89367942975</x:v>
      </x:c>
      <x:c r="C45" s="25" t="n">
        <x:f aca="0">C44+$B$4</x:f>
        <x:v>68000</x:v>
      </x:c>
    </x:row>
    <x:row r="46" ht="15" hidden="1">
      <x:c r="A46" s="11" t="n">
        <x:v>37</x:v>
      </x:c>
      <x:c r="B46" s="25" t="n">
        <x:f aca="0">B45*(1+$B$6)+$B$4</x:f>
        <x:v>83987.04733871024</x:v>
      </x:c>
      <x:c r="C46" s="25" t="n">
        <x:f aca="0">C45+$B$4</x:f>
        <x:v>68500</x:v>
      </x:c>
    </x:row>
    <x:row r="47" ht="15" hidden="1">
      <x:c r="A47" s="11" t="n">
        <x:v>38</x:v>
      </x:c>
      <x:c r="B47" s="25" t="n">
        <x:f aca="0">B46*(1+$B$6)+$B$4</x:f>
        <x:v>85020.72786038312</x:v>
      </x:c>
      <x:c r="C47" s="25" t="n">
        <x:f aca="0">C46+$B$4</x:f>
        <x:v>69000</x:v>
      </x:c>
    </x:row>
    <x:row r="48" ht="15" hidden="1">
      <x:c r="A48" s="11" t="n">
        <x:v>39</x:v>
      </x:c>
      <x:c r="B48" s="25" t="n">
        <x:f aca="0">B47*(1+$B$6)+$B$4</x:f>
        <x:v>86060.97671821651</x:v>
      </x:c>
      <x:c r="C48" s="25" t="n">
        <x:f aca="0">C47+$B$4</x:f>
        <x:v>69500</x:v>
      </x:c>
    </x:row>
    <x:row r="49" ht="15" hidden="1">
      <x:c r="A49" s="11" t="n">
        <x:v>40</x:v>
      </x:c>
      <x:c r="B49" s="25" t="n">
        <x:f aca="0">B48*(1+$B$6)+$B$4</x:f>
        <x:v>87107.8356495161</x:v>
      </x:c>
      <x:c r="C49" s="25" t="n">
        <x:f aca="0">C48+$B$4</x:f>
        <x:v>70000</x:v>
      </x:c>
    </x:row>
    <x:row r="50" ht="15" hidden="1">
      <x:c r="A50" s="11" t="n">
        <x:v>41</x:v>
      </x:c>
      <x:c r="B50" s="25" t="n">
        <x:f aca="0">B49*(1+$B$6)+$B$4</x:f>
        <x:v>88161.34665679975</x:v>
      </x:c>
      <x:c r="C50" s="25" t="n">
        <x:f aca="0">C49+$B$4</x:f>
        <x:v>70500</x:v>
      </x:c>
    </x:row>
    <x:row r="51" ht="15" hidden="1">
      <x:c r="A51" s="11" t="n">
        <x:v>42</x:v>
      </x:c>
      <x:c r="B51" s="25" t="n">
        <x:f aca="0">B50*(1+$B$6)+$B$4</x:f>
        <x:v>89221.55200948274</x:v>
      </x:c>
      <x:c r="C51" s="25" t="n">
        <x:f aca="0">C50+$B$4</x:f>
        <x:v>71000</x:v>
      </x:c>
    </x:row>
    <x:row r="52" ht="15" hidden="1">
      <x:c r="A52" s="11" t="n">
        <x:v>43</x:v>
      </x:c>
      <x:c r="B52" s="25" t="n">
        <x:f aca="0">B51*(1+$B$6)+$B$4</x:f>
        <x:v>90288.49424557369</x:v>
      </x:c>
      <x:c r="C52" s="25" t="n">
        <x:f aca="0">C51+$B$4</x:f>
        <x:v>71500</x:v>
      </x:c>
    </x:row>
    <x:row r="53" ht="15" hidden="1">
      <x:c r="A53" s="11" t="n">
        <x:v>44</x:v>
      </x:c>
      <x:c r="B53" s="25" t="n">
        <x:f aca="0">B52*(1+$B$6)+$B$4</x:f>
        <x:v>91362.21617338133</x:v>
      </x:c>
      <x:c r="C53" s="25" t="n">
        <x:f aca="0">C52+$B$4</x:f>
        <x:v>72000</x:v>
      </x:c>
    </x:row>
    <x:row r="54" ht="15" hidden="1">
      <x:c r="A54" s="11" t="n">
        <x:v>45</x:v>
      </x:c>
      <x:c r="B54" s="25" t="n">
        <x:f aca="0">B53*(1+$B$6)+$B$4</x:f>
        <x:v>92442.76087323205</x:v>
      </x:c>
      <x:c r="C54" s="25" t="n">
        <x:f aca="0">C53+$B$4</x:f>
        <x:v>72500</x:v>
      </x:c>
    </x:row>
    <x:row r="55" ht="15" hidden="1">
      <x:c r="A55" s="11" t="n">
        <x:v>46</x:v>
      </x:c>
      <x:c r="B55" s="25" t="n">
        <x:f aca="0">B54*(1+$B$6)+$B$4</x:f>
        <x:v>93530.17169919841</x:v>
      </x:c>
      <x:c r="C55" s="25" t="n">
        <x:f aca="0">C54+$B$4</x:f>
        <x:v>73000</x:v>
      </x:c>
    </x:row>
    <x:row r="56" ht="15" hidden="1">
      <x:c r="A56" s="11" t="n">
        <x:v>47</x:v>
      </x:c>
      <x:c r="B56" s="25" t="n">
        <x:f aca="0">B55*(1+$B$6)+$B$4</x:f>
        <x:v>94624.49228083857</x:v>
      </x:c>
      <x:c r="C56" s="25" t="n">
        <x:f aca="0">C55+$B$4</x:f>
        <x:v>73500</x:v>
      </x:c>
    </x:row>
    <x:row r="57" ht="15" hidden="1">
      <x:c r="A57" s="11" t="n">
        <x:v>48</x:v>
      </x:c>
      <x:c r="B57" s="25" t="n">
        <x:f aca="0">B56*(1+$B$6)+$B$4</x:f>
        <x:v>95725.76652494686</x:v>
      </x:c>
      <x:c r="C57" s="25" t="n">
        <x:f aca="0">C56+$B$4</x:f>
        <x:v>74000</x:v>
      </x:c>
    </x:row>
    <x:row r="58" ht="15" hidden="1">
      <x:c r="A58" s="11" t="n">
        <x:v>49</x:v>
      </x:c>
      <x:c r="B58" s="25" t="n">
        <x:f aca="0">B57*(1+$B$6)+$B$4</x:f>
        <x:v>96834.03861731537</x:v>
      </x:c>
      <x:c r="C58" s="25" t="n">
        <x:f aca="0">C57+$B$4</x:f>
        <x:v>74500</x:v>
      </x:c>
    </x:row>
    <x:row r="59" ht="15" hidden="1">
      <x:c r="A59" s="11" t="n">
        <x:v>50</x:v>
      </x:c>
      <x:c r="B59" s="25" t="n">
        <x:f aca="0">B58*(1+$B$6)+$B$4</x:f>
        <x:v>97949.35302450684</x:v>
      </x:c>
      <x:c r="C59" s="25" t="n">
        <x:f aca="0">C58+$B$4</x:f>
        <x:v>75000</x:v>
      </x:c>
    </x:row>
    <x:row r="60" ht="15" hidden="1">
      <x:c r="A60" s="11" t="n">
        <x:v>51</x:v>
      </x:c>
      <x:c r="B60" s="25" t="n">
        <x:f aca="0">B59*(1+$B$6)+$B$4</x:f>
        <x:v>99071.75449563877</x:v>
      </x:c>
      <x:c r="C60" s="25" t="n">
        <x:f aca="0">C59+$B$4</x:f>
        <x:v>75500</x:v>
      </x:c>
    </x:row>
    <x:row r="61" ht="15" hidden="1">
      <x:c r="A61" s="11" t="n">
        <x:v>52</x:v>
      </x:c>
      <x:c r="B61" s="25" t="n">
        <x:f aca="0">B60*(1+$B$6)+$B$4</x:f>
        <x:v>100201.28806417882</x:v>
      </x:c>
      <x:c r="C61" s="25" t="n">
        <x:f aca="0">C60+$B$4</x:f>
        <x:v>76000</x:v>
      </x:c>
    </x:row>
    <x:row r="62" ht="15" hidden="1">
      <x:c r="A62" s="11" t="n">
        <x:v>53</x:v>
      </x:c>
      <x:c r="B62" s="25" t="n">
        <x:f aca="0">B61*(1+$B$6)+$B$4</x:f>
        <x:v>101337.9990497517</x:v>
      </x:c>
      <x:c r="C62" s="25" t="n">
        <x:f aca="0">C61+$B$4</x:f>
        <x:v>76500</x:v>
      </x:c>
    </x:row>
    <x:row r="63" ht="15" hidden="1">
      <x:c r="A63" s="11" t="n">
        <x:v>54</x:v>
      </x:c>
      <x:c r="B63" s="25" t="n">
        <x:f aca="0">B62*(1+$B$6)+$B$4</x:f>
        <x:v>102481.93305995746</x:v>
      </x:c>
      <x:c r="C63" s="25" t="n">
        <x:f aca="0">C62+$B$4</x:f>
        <x:v>77000</x:v>
      </x:c>
    </x:row>
    <x:row r="64" ht="15" hidden="1">
      <x:c r="A64" s="11" t="n">
        <x:v>55</x:v>
      </x:c>
      <x:c r="B64" s="25" t="n">
        <x:f aca="0">B63*(1+$B$6)+$B$4</x:f>
        <x:v>103633.13599220145</x:v>
      </x:c>
      <x:c r="C64" s="25" t="n">
        <x:f aca="0">C63+$B$4</x:f>
        <x:v>77500</x:v>
      </x:c>
    </x:row>
    <x:row r="65" ht="15" hidden="1">
      <x:c r="A65" s="11" t="n">
        <x:v>56</x:v>
      </x:c>
      <x:c r="B65" s="25" t="n">
        <x:f aca="0">B64*(1+$B$6)+$B$4</x:f>
        <x:v>104791.65403553577</x:v>
      </x:c>
      <x:c r="C65" s="25" t="n">
        <x:f aca="0">C64+$B$4</x:f>
        <x:v>78000</x:v>
      </x:c>
    </x:row>
    <x:row r="66" ht="15" hidden="1">
      <x:c r="A66" s="11" t="n">
        <x:v>57</x:v>
      </x:c>
      <x:c r="B66" s="25" t="n">
        <x:f aca="0">B65*(1+$B$6)+$B$4</x:f>
        <x:v>105957.53367251251</x:v>
      </x:c>
      <x:c r="C66" s="25" t="n">
        <x:f aca="0">C65+$B$4</x:f>
        <x:v>78500</x:v>
      </x:c>
    </x:row>
    <x:row r="67" ht="15" hidden="1">
      <x:c r="A67" s="11" t="n">
        <x:v>58</x:v>
      </x:c>
      <x:c r="B67" s="25" t="n">
        <x:f aca="0">B66*(1+$B$6)+$B$4</x:f>
        <x:v>107130.82168104874</x:v>
      </x:c>
      <x:c r="C67" s="25" t="n">
        <x:f aca="0">C66+$B$4</x:f>
        <x:v>79000</x:v>
      </x:c>
    </x:row>
    <x:row r="68" ht="15" hidden="1">
      <x:c r="A68" s="11" t="n">
        <x:v>59</x:v>
      </x:c>
      <x:c r="B68" s="25" t="n">
        <x:f aca="0">B67*(1+$B$6)+$B$4</x:f>
        <x:v>108311.56513630335</x:v>
      </x:c>
      <x:c r="C68" s="25" t="n">
        <x:f aca="0">C67+$B$4</x:f>
        <x:v>79500</x:v>
      </x:c>
    </x:row>
    <x:row r="69" ht="15" hidden="1">
      <x:c r="A69" s="11" t="n">
        <x:v>60</x:v>
      </x:c>
      <x:c r="B69" s="25" t="n">
        <x:f aca="0">B68*(1+$B$6)+$B$4</x:f>
        <x:v>109499.81141256585</x:v>
      </x:c>
      <x:c r="C69" s="25" t="n">
        <x:f aca="0">C68+$B$4</x:f>
        <x:v>80000</x:v>
      </x:c>
    </x:row>
    <x:row r="70" ht="15" hidden="1">
      <x:c r="A70" s="11" t="n">
        <x:v>61</x:v>
      </x:c>
      <x:c r="B70" s="25" t="n">
        <x:f aca="0">B69*(1+$B$6)+$B$4</x:f>
        <x:v>110695.60818515706</x:v>
      </x:c>
      <x:c r="C70" s="25" t="n">
        <x:f aca="0">C69+$B$4</x:f>
        <x:v>80500</x:v>
      </x:c>
    </x:row>
    <x:row r="71" ht="15" hidden="1">
      <x:c r="A71" s="11" t="n">
        <x:v>62</x:v>
      </x:c>
      <x:c r="B71" s="25" t="n">
        <x:f aca="0">B70*(1+$B$6)+$B$4</x:f>
        <x:v>111899.00343234207</x:v>
      </x:c>
      <x:c r="C71" s="25" t="n">
        <x:f aca="0">C70+$B$4</x:f>
        <x:v>81000</x:v>
      </x:c>
    </x:row>
    <x:row r="72" ht="15" hidden="1">
      <x:c r="A72" s="11" t="n">
        <x:v>63</x:v>
      </x:c>
      <x:c r="B72" s="25" t="n">
        <x:f aca="0">B71*(1+$B$6)+$B$4</x:f>
        <x:v>113110.04543725516</x:v>
      </x:c>
      <x:c r="C72" s="25" t="n">
        <x:f aca="0">C71+$B$4</x:f>
        <x:v>81500</x:v>
      </x:c>
    </x:row>
    <x:row r="73" ht="15" hidden="1">
      <x:c r="A73" s="11" t="n">
        <x:v>64</x:v>
      </x:c>
      <x:c r="B73" s="25" t="n">
        <x:f aca="0">B72*(1+$B$6)+$B$4</x:f>
        <x:v>114328.78278983709</x:v>
      </x:c>
      <x:c r="C73" s="25" t="n">
        <x:f aca="0">C72+$B$4</x:f>
        <x:v>82000</x:v>
      </x:c>
    </x:row>
    <x:row r="74" ht="15" hidden="1">
      <x:c r="A74" s="11" t="n">
        <x:v>65</x:v>
      </x:c>
      <x:c r="B74" s="25" t="n">
        <x:f aca="0">B73*(1+$B$6)+$B$4</x:f>
        <x:v>115555.26438878459</x:v>
      </x:c>
      <x:c r="C74" s="25" t="n">
        <x:f aca="0">C73+$B$4</x:f>
        <x:v>82500</x:v>
      </x:c>
    </x:row>
    <x:row r="75" ht="15" hidden="1">
      <x:c r="A75" s="11" t="n">
        <x:v>66</x:v>
      </x:c>
      <x:c r="B75" s="25" t="n">
        <x:f aca="0">B74*(1+$B$6)+$B$4</x:f>
        <x:v>116789.53944351235</x:v>
      </x:c>
      <x:c r="C75" s="25" t="n">
        <x:f aca="0">C74+$B$4</x:f>
        <x:v>83000</x:v>
      </x:c>
    </x:row>
    <x:row r="76" ht="15" hidden="1">
      <x:c r="A76" s="11" t="n">
        <x:v>67</x:v>
      </x:c>
      <x:c r="B76" s="25" t="n">
        <x:f aca="0">B75*(1+$B$6)+$B$4</x:f>
        <x:v>118031.65747612738</x:v>
      </x:c>
      <x:c r="C76" s="25" t="n">
        <x:f aca="0">C75+$B$4</x:f>
        <x:v>83500</x:v>
      </x:c>
    </x:row>
    <x:row r="77" ht="15" hidden="1">
      <x:c r="A77" s="11" t="n">
        <x:v>68</x:v>
      </x:c>
      <x:c r="B77" s="25" t="n">
        <x:f aca="0">B76*(1+$B$6)+$B$4</x:f>
        <x:v>119281.66832341599</x:v>
      </x:c>
      <x:c r="C77" s="25" t="n">
        <x:f aca="0">C76+$B$4</x:f>
        <x:v>84000</x:v>
      </x:c>
    </x:row>
    <x:row r="78" ht="15" hidden="1">
      <x:c r="A78" s="11" t="n">
        <x:v>69</x:v>
      </x:c>
      <x:c r="B78" s="25" t="n">
        <x:f aca="0">B77*(1+$B$6)+$B$4</x:f>
        <x:v>120539.62213884333</x:v>
      </x:c>
      <x:c r="C78" s="25" t="n">
        <x:f aca="0">C77+$B$4</x:f>
        <x:v>84500</x:v>
      </x:c>
    </x:row>
    <x:row r="79" ht="15" hidden="1">
      <x:c r="A79" s="11" t="n">
        <x:v>70</x:v>
      </x:c>
      <x:c r="B79" s="25" t="n">
        <x:f aca="0">B78*(1+$B$6)+$B$4</x:f>
        <x:v>121805.5693945657</x:v>
      </x:c>
      <x:c r="C79" s="25" t="n">
        <x:f aca="0">C78+$B$4</x:f>
        <x:v>85000</x:v>
      </x:c>
    </x:row>
    <x:row r="80" ht="15" hidden="1">
      <x:c r="A80" s="11" t="n">
        <x:v>71</x:v>
      </x:c>
      <x:c r="B80" s="25" t="n">
        <x:f aca="0">B79*(1+$B$6)+$B$4</x:f>
        <x:v>123079.56088345559</x:v>
      </x:c>
      <x:c r="C80" s="25" t="n">
        <x:f aca="0">C79+$B$4</x:f>
        <x:v>85500</x:v>
      </x:c>
    </x:row>
    <x:row r="81" ht="15" hidden="1">
      <x:c r="A81" s="11" t="n">
        <x:v>72</x:v>
      </x:c>
      <x:c r="B81" s="25" t="n">
        <x:f aca="0">B80*(1+$B$6)+$B$4</x:f>
        <x:v>124361.64772113963</x:v>
      </x:c>
      <x:c r="C81" s="25" t="n">
        <x:f aca="0">C80+$B$4</x:f>
        <x:v>86000</x:v>
      </x:c>
    </x:row>
    <x:row r="82" ht="15" hidden="1">
      <x:c r="A82" s="11" t="n">
        <x:v>73</x:v>
      </x:c>
      <x:c r="B82" s="25" t="n">
        <x:f aca="0">B81*(1+$B$6)+$B$4</x:f>
        <x:v>125651.88134804946</x:v>
      </x:c>
      <x:c r="C82" s="25" t="n">
        <x:f aca="0">C81+$B$4</x:f>
        <x:v>86500</x:v>
      </x:c>
    </x:row>
    <x:row r="83" ht="15" hidden="1">
      <x:c r="A83" s="11" t="n">
        <x:v>74</x:v>
      </x:c>
      <x:c r="B83" s="25" t="n">
        <x:f aca="0">B82*(1+$B$6)+$B$4</x:f>
        <x:v>126950.31353148566</x:v>
      </x:c>
      <x:c r="C83" s="25" t="n">
        <x:f aca="0">C82+$B$4</x:f>
        <x:v>87000</x:v>
      </x:c>
    </x:row>
    <x:row r="84" ht="15" hidden="1">
      <x:c r="A84" s="11" t="n">
        <x:v>75</x:v>
      </x:c>
      <x:c r="B84" s="25" t="n">
        <x:f aca="0">B83*(1+$B$6)+$B$4</x:f>
        <x:v>128256.99636769477</x:v>
      </x:c>
      <x:c r="C84" s="25" t="n">
        <x:f aca="0">C83+$B$4</x:f>
        <x:v>87500</x:v>
      </x:c>
    </x:row>
    <x:row r="85" ht="15" hidden="1">
      <x:c r="A85" s="11" t="n">
        <x:v>76</x:v>
      </x:c>
      <x:c r="B85" s="25" t="n">
        <x:f aca="0">B84*(1+$B$6)+$B$4</x:f>
        <x:v>129571.9822839595</x:v>
      </x:c>
      <x:c r="C85" s="25" t="n">
        <x:f aca="0">C84+$B$4</x:f>
        <x:v>88000</x:v>
      </x:c>
    </x:row>
    <x:row r="86" ht="15" hidden="1">
      <x:c r="A86" s="11" t="n">
        <x:v>77</x:v>
      </x:c>
      <x:c r="B86" s="25" t="n">
        <x:f aca="0">B85*(1+$B$6)+$B$4</x:f>
        <x:v>130895.32404070228</x:v>
      </x:c>
      <x:c r="C86" s="25" t="n">
        <x:f aca="0">C85+$B$4</x:f>
        <x:v>88500</x:v>
      </x:c>
    </x:row>
    <x:row r="87" ht="15" hidden="1">
      <x:c r="A87" s="11" t="n">
        <x:v>78</x:v>
      </x:c>
      <x:c r="B87" s="25" t="n">
        <x:f aca="0">B86*(1+$B$6)+$B$4</x:f>
        <x:v>132227.07473360212</x:v>
      </x:c>
      <x:c r="C87" s="25" t="n">
        <x:f aca="0">C86+$B$4</x:f>
        <x:v>89000</x:v>
      </x:c>
    </x:row>
    <x:row r="88" ht="15" hidden="1">
      <x:c r="A88" s="11" t="n">
        <x:v>79</x:v>
      </x:c>
      <x:c r="B88" s="25" t="n">
        <x:f aca="0">B87*(1+$B$6)+$B$4</x:f>
        <x:v>133567.2877957249</x:v>
      </x:c>
      <x:c r="C88" s="25" t="n">
        <x:f aca="0">C87+$B$4</x:f>
        <x:v>89500</x:v>
      </x:c>
    </x:row>
    <x:row r="89" ht="15" hidden="1">
      <x:c r="A89" s="11" t="n">
        <x:v>80</x:v>
      </x:c>
      <x:c r="B89" s="25" t="n">
        <x:f aca="0">B88*(1+$B$6)+$B$4</x:f>
        <x:v>134916.01699966728</x:v>
      </x:c>
      <x:c r="C89" s="25" t="n">
        <x:f aca="0">C88+$B$4</x:f>
        <x:v>90000</x:v>
      </x:c>
    </x:row>
    <x:row r="90" ht="15" hidden="1">
      <x:c r="A90" s="11" t="n">
        <x:v>81</x:v>
      </x:c>
      <x:c r="B90" s="25" t="n">
        <x:f aca="0">B89*(1+$B$6)+$B$4</x:f>
        <x:v>136273.31645971417</x:v>
      </x:c>
      <x:c r="C90" s="25" t="n">
        <x:f aca="0">C89+$B$4</x:f>
        <x:v>90500</x:v>
      </x:c>
    </x:row>
    <x:row r="91" ht="15" hidden="1">
      <x:c r="A91" s="11" t="n">
        <x:v>82</x:v>
      </x:c>
      <x:c r="B91" s="25" t="n">
        <x:f aca="0">B90*(1+$B$6)+$B$4</x:f>
        <x:v>137639.24063400997</x:v>
      </x:c>
      <x:c r="C91" s="25" t="n">
        <x:f aca="0">C90+$B$4</x:f>
        <x:v>91000</x:v>
      </x:c>
    </x:row>
    <x:row r="92" ht="15" hidden="1">
      <x:c r="A92" s="11" t="n">
        <x:v>83</x:v>
      </x:c>
      <x:c r="B92" s="25" t="n">
        <x:f aca="0">B91*(1+$B$6)+$B$4</x:f>
        <x:v>139013.84432674345</x:v>
      </x:c>
      <x:c r="C92" s="25" t="n">
        <x:f aca="0">C91+$B$4</x:f>
        <x:v>91500</x:v>
      </x:c>
    </x:row>
    <x:row r="93" ht="15" hidden="1">
      <x:c r="A93" s="11" t="n">
        <x:v>84</x:v>
      </x:c>
      <x:c r="B93" s="25" t="n">
        <x:f aca="0">B92*(1+$B$6)+$B$4</x:f>
        <x:v>140397.18269034676</x:v>
      </x:c>
      <x:c r="C93" s="25" t="n">
        <x:f aca="0">C92+$B$4</x:f>
        <x:v>92000</x:v>
      </x:c>
    </x:row>
    <x:row r="94" ht="15" hidden="1">
      <x:c r="A94" s="11" t="n">
        <x:v>85</x:v>
      </x:c>
      <x:c r="B94" s="25" t="n">
        <x:f aca="0">B93*(1+$B$6)+$B$4</x:f>
        <x:v>141789.31122770818</x:v>
      </x:c>
      <x:c r="C94" s="25" t="n">
        <x:f aca="0">C93+$B$4</x:f>
        <x:v>92500</x:v>
      </x:c>
    </x:row>
    <x:row r="95" ht="15" hidden="1">
      <x:c r="A95" s="11" t="n">
        <x:v>86</x:v>
      </x:c>
      <x:c r="B95" s="25" t="n">
        <x:f aca="0">B94*(1+$B$6)+$B$4</x:f>
        <x:v>143190.28579439907</x:v>
      </x:c>
      <x:c r="C95" s="25" t="n">
        <x:f aca="0">C94+$B$4</x:f>
        <x:v>93000</x:v>
      </x:c>
    </x:row>
    <x:row r="96" ht="15" hidden="1">
      <x:c r="A96" s="11" t="n">
        <x:v>87</x:v>
      </x:c>
      <x:c r="B96" s="25" t="n">
        <x:f aca="0">B95*(1+$B$6)+$B$4</x:f>
        <x:v>144600.16260091495</x:v>
      </x:c>
      <x:c r="C96" s="25" t="n">
        <x:f aca="0">C95+$B$4</x:f>
        <x:v>93500</x:v>
      </x:c>
    </x:row>
    <x:row r="97" ht="15" hidden="1">
      <x:c r="A97" s="11" t="n">
        <x:v>88</x:v>
      </x:c>
      <x:c r="B97" s="25" t="n">
        <x:f aca="0">B96*(1+$B$6)+$B$4</x:f>
        <x:v>146018.99821493076</x:v>
      </x:c>
      <x:c r="C97" s="25" t="n">
        <x:f aca="0">C96+$B$4</x:f>
        <x:v>94000</x:v>
      </x:c>
    </x:row>
    <x:row r="98" ht="15" hidden="1">
      <x:c r="A98" s="11" t="n">
        <x:v>89</x:v>
      </x:c>
      <x:c r="B98" s="25" t="n">
        <x:f aca="0">B97*(1+$B$6)+$B$4</x:f>
        <x:v>147446.84956357055</x:v>
      </x:c>
      <x:c r="C98" s="25" t="n">
        <x:f aca="0">C97+$B$4</x:f>
        <x:v>94500</x:v>
      </x:c>
    </x:row>
    <x:row r="99" ht="15" hidden="1">
      <x:c r="A99" s="11" t="n">
        <x:v>90</x:v>
      </x:c>
      <x:c r="B99" s="25" t="n">
        <x:f aca="0">B98*(1+$B$6)+$B$4</x:f>
        <x:v>148883.77393569145</x:v>
      </x:c>
      <x:c r="C99" s="25" t="n">
        <x:f aca="0">C98+$B$4</x:f>
        <x:v>95000</x:v>
      </x:c>
    </x:row>
    <x:row r="100" ht="15" hidden="1">
      <x:c r="A100" s="11" t="n">
        <x:v>91</x:v>
      </x:c>
      <x:c r="B100" s="25" t="n">
        <x:f aca="0">B99*(1+$B$6)+$B$4</x:f>
        <x:v>150329.8289841823</x:v>
      </x:c>
      <x:c r="C100" s="25" t="n">
        <x:f aca="0">C99+$B$4</x:f>
        <x:v>95500</x:v>
      </x:c>
    </x:row>
    <x:row r="101" ht="15" hidden="1">
      <x:c r="A101" s="11" t="n">
        <x:v>92</x:v>
      </x:c>
      <x:c r="B101" s="25" t="n">
        <x:f aca="0">B100*(1+$B$6)+$B$4</x:f>
        <x:v>151785.07272827683</x:v>
      </x:c>
      <x:c r="C101" s="25" t="n">
        <x:f aca="0">C100+$B$4</x:f>
        <x:v>96000</x:v>
      </x:c>
    </x:row>
    <x:row r="102" ht="15" hidden="1">
      <x:c r="A102" s="11" t="n">
        <x:v>93</x:v>
      </x:c>
      <x:c r="B102" s="25" t="n">
        <x:f aca="0">B101*(1+$B$6)+$B$4</x:f>
        <x:v>153249.56355588147</x:v>
      </x:c>
      <x:c r="C102" s="25" t="n">
        <x:f aca="0">C101+$B$4</x:f>
        <x:v>96500</x:v>
      </x:c>
    </x:row>
    <x:row r="103" ht="15" hidden="1">
      <x:c r="A103" s="11" t="n">
        <x:v>94</x:v>
      </x:c>
      <x:c r="B103" s="25" t="n">
        <x:f aca="0">B102*(1+$B$6)+$B$4</x:f>
        <x:v>154723.3602259181</x:v>
      </x:c>
      <x:c r="C103" s="25" t="n">
        <x:f aca="0">C102+$B$4</x:f>
        <x:v>97000</x:v>
      </x:c>
    </x:row>
    <x:row r="104" ht="15" hidden="1">
      <x:c r="A104" s="11" t="n">
        <x:v>95</x:v>
      </x:c>
      <x:c r="B104" s="25" t="n">
        <x:f aca="0">B103*(1+$B$6)+$B$4</x:f>
        <x:v>156206.5218706815</x:v>
      </x:c>
      <x:c r="C104" s="25" t="n">
        <x:f aca="0">C103+$B$4</x:f>
        <x:v>97500</x:v>
      </x:c>
    </x:row>
    <x:row r="105" ht="15" hidden="1">
      <x:c r="A105" s="11" t="n">
        <x:v>96</x:v>
      </x:c>
      <x:c r="B105" s="25" t="n">
        <x:f aca="0">B104*(1+$B$6)+$B$4</x:f>
        <x:v>157699.10799821198</x:v>
      </x:c>
      <x:c r="C105" s="25" t="n">
        <x:f aca="0">C104+$B$4</x:f>
        <x:v>98000</x:v>
      </x:c>
    </x:row>
    <x:row r="106" ht="15" hidden="1">
      <x:c r="A106" s="11" t="n">
        <x:v>97</x:v>
      </x:c>
      <x:c r="B106" s="25" t="n">
        <x:f aca="0">B105*(1+$B$6)+$B$4</x:f>
        <x:v>159201.17849468297</x:v>
      </x:c>
      <x:c r="C106" s="25" t="n">
        <x:f aca="0">C105+$B$4</x:f>
        <x:v>98500</x:v>
      </x:c>
    </x:row>
    <x:row r="107" ht="15" hidden="1">
      <x:c r="A107" s="11" t="n">
        <x:v>98</x:v>
      </x:c>
      <x:c r="B107" s="25" t="n">
        <x:f aca="0">B106*(1+$B$6)+$B$4</x:f>
        <x:v>160712.7936268037</x:v>
      </x:c>
      <x:c r="C107" s="25" t="n">
        <x:f aca="0">C106+$B$4</x:f>
        <x:v>99000</x:v>
      </x:c>
    </x:row>
    <x:row r="108" ht="15" hidden="1">
      <x:c r="A108" s="11" t="n">
        <x:v>99</x:v>
      </x:c>
      <x:c r="B108" s="25" t="n">
        <x:f aca="0">B107*(1+$B$6)+$B$4</x:f>
        <x:v>162234.01404423735</x:v>
      </x:c>
      <x:c r="C108" s="25" t="n">
        <x:f aca="0">C107+$B$4</x:f>
        <x:v>99500</x:v>
      </x:c>
    </x:row>
    <x:row r="109" ht="15" hidden="1">
      <x:c r="A109" s="11" t="n">
        <x:v>100</x:v>
      </x:c>
      <x:c r="B109" s="25" t="n">
        <x:f aca="0">B108*(1+$B$6)+$B$4</x:f>
        <x:v>163764.90078203447</x:v>
      </x:c>
      <x:c r="C109" s="25" t="n">
        <x:f aca="0">C108+$B$4</x:f>
        <x:v>100000</x:v>
      </x:c>
    </x:row>
    <x:row r="110" ht="15" hidden="1">
      <x:c r="A110" s="11" t="n">
        <x:v>101</x:v>
      </x:c>
      <x:c r="B110" s="25" t="n">
        <x:f aca="0">B109*(1+$B$6)+$B$4</x:f>
        <x:v>165305.51526308173</x:v>
      </x:c>
      <x:c r="C110" s="25" t="n">
        <x:f aca="0">C109+$B$4</x:f>
        <x:v>100500</x:v>
      </x:c>
    </x:row>
    <x:row r="111" ht="15" hidden="1">
      <x:c r="A111" s="11" t="n">
        <x:v>102</x:v>
      </x:c>
      <x:c r="B111" s="25" t="n">
        <x:f aca="0">B110*(1+$B$6)+$B$4</x:f>
        <x:v>166855.91930056651</x:v>
      </x:c>
      <x:c r="C111" s="25" t="n">
        <x:f aca="0">C110+$B$4</x:f>
        <x:v>101000</x:v>
      </x:c>
    </x:row>
    <x:row r="112" ht="15" hidden="1">
      <x:c r="A112" s="11" t="n">
        <x:v>103</x:v>
      </x:c>
      <x:c r="B112" s="25" t="n">
        <x:f aca="0">B111*(1+$B$6)+$B$4</x:f>
        <x:v>168416.1751004569</x:v>
      </x:c>
      <x:c r="C112" s="25" t="n">
        <x:f aca="0">C111+$B$4</x:f>
        <x:v>101500</x:v>
      </x:c>
    </x:row>
    <x:row r="113" ht="15" hidden="1">
      <x:c r="A113" s="11" t="n">
        <x:v>104</x:v>
      </x:c>
      <x:c r="B113" s="25" t="n">
        <x:f aca="0">B112*(1+$B$6)+$B$4</x:f>
        <x:v>169986.34526399753</x:v>
      </x:c>
      <x:c r="C113" s="25" t="n">
        <x:f aca="0">C112+$B$4</x:f>
        <x:v>102000</x:v>
      </x:c>
    </x:row>
    <x:row r="114" ht="15" hidden="1">
      <x:c r="A114" s="11" t="n">
        <x:v>105</x:v>
      </x:c>
      <x:c r="B114" s="25" t="n">
        <x:f aca="0">B113*(1+$B$6)+$B$4</x:f>
        <x:v>171566.4927902214</x:v>
      </x:c>
      <x:c r="C114" s="25" t="n">
        <x:f aca="0">C113+$B$4</x:f>
        <x:v>102500</x:v>
      </x:c>
    </x:row>
    <x:row r="115" ht="15" hidden="1">
      <x:c r="A115" s="11" t="n">
        <x:v>106</x:v>
      </x:c>
      <x:c r="B115" s="25" t="n">
        <x:f aca="0">B114*(1+$B$6)+$B$4</x:f>
        <x:v>173156.6810784775</x:v>
      </x:c>
      <x:c r="C115" s="25" t="n">
        <x:f aca="0">C114+$B$4</x:f>
        <x:v>103000</x:v>
      </x:c>
    </x:row>
    <x:row r="116" ht="15" hidden="1">
      <x:c r="A116" s="11" t="n">
        <x:v>107</x:v>
      </x:c>
      <x:c r="B116" s="25" t="n">
        <x:f aca="0">B115*(1+$B$6)+$B$4</x:f>
        <x:v>174756.97393097446</x:v>
      </x:c>
      <x:c r="C116" s="25" t="n">
        <x:f aca="0">C115+$B$4</x:f>
        <x:v>103500</x:v>
      </x:c>
    </x:row>
    <x:row r="117" ht="15" hidden="1">
      <x:c r="A117" s="11" t="n">
        <x:v>108</x:v>
      </x:c>
      <x:c r="B117" s="25" t="n">
        <x:f aca="0">B116*(1+$B$6)+$B$4</x:f>
        <x:v>176367.43555534055</x:v>
      </x:c>
      <x:c r="C117" s="25" t="n">
        <x:f aca="0">C116+$B$4</x:f>
        <x:v>104000</x:v>
      </x:c>
    </x:row>
    <x:row r="118" ht="15" hidden="1">
      <x:c r="A118" s="11" t="n">
        <x:v>109</x:v>
      </x:c>
      <x:c r="B118" s="25" t="n">
        <x:f aca="0">B117*(1+$B$6)+$B$4</x:f>
        <x:v>177988.13056719984</x:v>
      </x:c>
      <x:c r="C118" s="25" t="n">
        <x:f aca="0">C117+$B$4</x:f>
        <x:v>104500</x:v>
      </x:c>
    </x:row>
    <x:row r="119" ht="15" hidden="1">
      <x:c r="A119" s="11" t="n">
        <x:v>110</x:v>
      </x:c>
      <x:c r="B119" s="25" t="n">
        <x:f aca="0">B118*(1+$B$6)+$B$4</x:f>
        <x:v>179619.12399276468</x:v>
      </x:c>
      <x:c r="C119" s="25" t="n">
        <x:f aca="0">C118+$B$4</x:f>
        <x:v>105000</x:v>
      </x:c>
    </x:row>
    <x:row r="120" ht="15" hidden="1">
      <x:c r="A120" s="11" t="n">
        <x:v>111</x:v>
      </x:c>
      <x:c r="B120" s="25" t="n">
        <x:f aca="0">B119*(1+$B$6)+$B$4</x:f>
        <x:v>181260.48127144476</x:v>
      </x:c>
      <x:c r="C120" s="25" t="n">
        <x:f aca="0">C119+$B$4</x:f>
        <x:v>105500</x:v>
      </x:c>
    </x:row>
    <x:row r="121" ht="15" hidden="1">
      <x:c r="A121" s="11" t="n">
        <x:v>112</x:v>
      </x:c>
      <x:c r="B121" s="25" t="n">
        <x:f aca="0">B120*(1+$B$6)+$B$4</x:f>
        <x:v>182912.26825847264</x:v>
      </x:c>
      <x:c r="C121" s="25" t="n">
        <x:f aca="0">C120+$B$4</x:f>
        <x:v>106000</x:v>
      </x:c>
    </x:row>
    <x:row r="122" ht="15" hidden="1">
      <x:c r="A122" s="11" t="n">
        <x:v>113</x:v>
      </x:c>
      <x:c r="B122" s="25" t="n">
        <x:f aca="0">B121*(1+$B$6)+$B$4</x:f>
        <x:v>184574.55122754612</x:v>
      </x:c>
      <x:c r="C122" s="25" t="n">
        <x:f aca="0">C121+$B$4</x:f>
        <x:v>106500</x:v>
      </x:c>
    </x:row>
    <x:row r="123" ht="15" hidden="1">
      <x:c r="A123" s="11" t="n">
        <x:v>114</x:v>
      </x:c>
      <x:c r="B123" s="25" t="n">
        <x:f aca="0">B122*(1+$B$6)+$B$4</x:f>
        <x:v>186247.39687348722</x:v>
      </x:c>
      <x:c r="C123" s="25" t="n">
        <x:f aca="0">C122+$B$4</x:f>
        <x:v>107000</x:v>
      </x:c>
    </x:row>
    <x:row r="124" ht="15" hidden="1">
      <x:c r="A124" s="11" t="n">
        <x:v>115</x:v>
      </x:c>
      <x:c r="B124" s="25" t="n">
        <x:f aca="0">B123*(1+$B$6)+$B$4</x:f>
        <x:v>187930.87231491812</x:v>
      </x:c>
      <x:c r="C124" s="25" t="n">
        <x:f aca="0">C123+$B$4</x:f>
        <x:v>107500</x:v>
      </x:c>
    </x:row>
    <x:row r="125" ht="15" hidden="1">
      <x:c r="A125" s="11" t="n">
        <x:v>116</x:v>
      </x:c>
      <x:c r="B125" s="25" t="n">
        <x:f aca="0">B124*(1+$B$6)+$B$4</x:f>
        <x:v>189625.0450969542</x:v>
      </x:c>
      <x:c r="C125" s="25" t="n">
        <x:f aca="0">C124+$B$4</x:f>
        <x:v>108000</x:v>
      </x:c>
    </x:row>
    <x:row r="126" ht="15" hidden="1">
      <x:c r="A126" s="11" t="n">
        <x:v>117</x:v>
      </x:c>
      <x:c r="B126" s="25" t="n">
        <x:f aca="0">B125*(1+$B$6)+$B$4</x:f>
        <x:v>191329.98319391411</x:v>
      </x:c>
      <x:c r="C126" s="25" t="n">
        <x:f aca="0">C125+$B$4</x:f>
        <x:v>108500</x:v>
      </x:c>
    </x:row>
    <x:row r="127" ht="15" hidden="1">
      <x:c r="A127" s="11" t="n">
        <x:v>118</x:v>
      </x:c>
      <x:c r="B127" s="25" t="n">
        <x:f aca="0">B126*(1+$B$6)+$B$4</x:f>
        <x:v>193045.75501204695</x:v>
      </x:c>
      <x:c r="C127" s="25" t="n">
        <x:f aca="0">C126+$B$4</x:f>
        <x:v>109000</x:v>
      </x:c>
    </x:row>
    <x:row r="128" ht="15" hidden="1">
      <x:c r="A128" s="11" t="n">
        <x:v>119</x:v>
      </x:c>
      <x:c r="B128" s="25" t="n">
        <x:f aca="0">B127*(1+$B$6)+$B$4</x:f>
        <x:v>194772.429392277</x:v>
      </x:c>
      <x:c r="C128" s="25" t="n">
        <x:f aca="0">C127+$B$4</x:f>
        <x:v>109500</x:v>
      </x:c>
    </x:row>
    <x:row r="129" ht="15" hidden="1">
      <x:c r="A129" s="11" t="n">
        <x:v>120</x:v>
      </x:c>
      <x:c r="B129" s="25" t="n">
        <x:f aca="0">B128*(1+$B$6)+$B$4</x:f>
        <x:v>196510.0756129658</x:v>
      </x:c>
      <x:c r="C129" s="25" t="n">
        <x:f aca="0">C128+$B$4</x:f>
        <x:v>110000</x:v>
      </x:c>
    </x:row>
    <x:row r="131" ht="15" hidden="0">
      <x:c r="A131" s="4" t="s">
        <x:v>274</x:v>
      </x:c>
    </x:row>
    <x:row r="132" ht="26.850000381469727" hidden="0">
      <x:c r="A132" s="14" t="s">
        <x:v>275</x:v>
      </x:c>
      <x:c r="B132" s="14" t="s">
        <x:v>276</x:v>
      </x:c>
      <x:c r="C132" s="14" t="s">
        <x:v>273</x:v>
      </x:c>
      <x:c r="D132" s="14" t="s">
        <x:v>277</x:v>
      </x:c>
    </x:row>
    <x:row r="133" ht="15" hidden="0">
      <x:c r="A133" s="15" t="n">
        <x:v>1</x:v>
      </x:c>
      <x:c r="B133" s="51" t="n">
        <x:f aca="0">B21</x:f>
        <x:v>60162.89820207785</x:v>
      </x:c>
      <x:c r="C133" s="51" t="n">
        <x:f aca="0">C21</x:f>
        <x:v>56000</x:v>
      </x:c>
      <x:c r="D133" s="18" t="n">
        <x:f aca="0">B133-C133</x:f>
        <x:v>4162.898202077849</x:v>
      </x:c>
    </x:row>
    <x:row r="134" ht="15" hidden="0">
      <x:c r="A134" s="15" t="n">
        <x:v>2</x:v>
      </x:c>
      <x:c r="B134" s="51" t="n">
        <x:f aca="0">B33</x:f>
        <x:v>71128.40112676662</x:v>
      </x:c>
      <x:c r="C134" s="51" t="n">
        <x:f aca="0">C33</x:f>
        <x:v>62000</x:v>
      </x:c>
      <x:c r="D134" s="18" t="n">
        <x:f aca="0">B134-C134</x:f>
        <x:v>9128.401126766621</x:v>
      </x:c>
    </x:row>
    <x:row r="135" ht="15" hidden="0">
      <x:c r="A135" s="15" t="n">
        <x:v>3</x:v>
      </x:c>
      <x:c r="B135" s="51" t="n">
        <x:f aca="0">B45</x:f>
        <x:v>82959.89367942975</x:v>
      </x:c>
      <x:c r="C135" s="51" t="n">
        <x:f aca="0">C45</x:f>
        <x:v>68000</x:v>
      </x:c>
      <x:c r="D135" s="18" t="n">
        <x:f aca="0">B135-C135</x:f>
        <x:v>14959.893679429748</x:v>
      </x:c>
    </x:row>
    <x:row r="136" ht="15" hidden="0">
      <x:c r="A136" s="15" t="n">
        <x:v>4</x:v>
      </x:c>
      <x:c r="B136" s="51" t="n">
        <x:f aca="0">B57</x:f>
        <x:v>95725.76652494686</x:v>
      </x:c>
      <x:c r="C136" s="51" t="n">
        <x:f aca="0">C57</x:f>
        <x:v>74000</x:v>
      </x:c>
      <x:c r="D136" s="18" t="n">
        <x:f aca="0">B136-C136</x:f>
        <x:v>21725.766524946855</x:v>
      </x:c>
    </x:row>
    <x:row r="137" ht="15" hidden="0">
      <x:c r="A137" s="15" t="n">
        <x:v>5</x:v>
      </x:c>
      <x:c r="B137" s="51" t="n">
        <x:f aca="0">B69</x:f>
        <x:v>109499.81141256585</x:v>
      </x:c>
      <x:c r="C137" s="51" t="n">
        <x:f aca="0">C69</x:f>
        <x:v>80000</x:v>
      </x:c>
      <x:c r="D137" s="18" t="n">
        <x:f aca="0">B137-C137</x:f>
        <x:v>29499.811412565847</x:v>
      </x:c>
    </x:row>
    <x:row r="138" ht="15" hidden="0">
      <x:c r="A138" s="15" t="n">
        <x:v>6</x:v>
      </x:c>
      <x:c r="B138" s="51" t="n">
        <x:f aca="0">B81</x:f>
        <x:v>124361.64772113963</x:v>
      </x:c>
      <x:c r="C138" s="51" t="n">
        <x:f aca="0">C81</x:f>
        <x:v>86000</x:v>
      </x:c>
      <x:c r="D138" s="18" t="n">
        <x:f aca="0">B138-C138</x:f>
        <x:v>38361.64772113963</x:v>
      </x:c>
    </x:row>
    <x:row r="139" ht="15" hidden="0">
      <x:c r="A139" s="15" t="n">
        <x:v>7</x:v>
      </x:c>
      <x:c r="B139" s="51" t="n">
        <x:f aca="0">B93</x:f>
        <x:v>140397.18269034676</x:v>
      </x:c>
      <x:c r="C139" s="51" t="n">
        <x:f aca="0">C93</x:f>
        <x:v>92000</x:v>
      </x:c>
      <x:c r="D139" s="18" t="n">
        <x:f aca="0">B139-C139</x:f>
        <x:v>48397.18269034676</x:v>
      </x:c>
    </x:row>
    <x:row r="140" ht="15" hidden="0">
      <x:c r="A140" s="15" t="n">
        <x:v>8</x:v>
      </x:c>
      <x:c r="B140" s="51" t="n">
        <x:f aca="0">B105</x:f>
        <x:v>157699.10799821198</x:v>
      </x:c>
      <x:c r="C140" s="51" t="n">
        <x:f aca="0">C105</x:f>
        <x:v>98000</x:v>
      </x:c>
      <x:c r="D140" s="18" t="n">
        <x:f aca="0">B140-C140</x:f>
        <x:v>59699.107998211985</x:v>
      </x:c>
    </x:row>
    <x:row r="141" ht="15" hidden="0">
      <x:c r="A141" s="15" t="n">
        <x:v>9</x:v>
      </x:c>
      <x:c r="B141" s="51" t="n">
        <x:f aca="0">B117</x:f>
        <x:v>176367.43555534055</x:v>
      </x:c>
      <x:c r="C141" s="51" t="n">
        <x:f aca="0">C117</x:f>
        <x:v>104000</x:v>
      </x:c>
      <x:c r="D141" s="18" t="n">
        <x:f aca="0">B141-C141</x:f>
        <x:v>72367.43555534055</x:v>
      </x:c>
    </x:row>
    <x:row r="142" ht="15" hidden="0">
      <x:c r="A142" s="15" t="n">
        <x:v>10</x:v>
      </x:c>
      <x:c r="B142" s="51" t="n">
        <x:f aca="0">B129</x:f>
        <x:v>196510.0756129658</x:v>
      </x:c>
      <x:c r="C142" s="51" t="n">
        <x:f aca="0">C129</x:f>
        <x:v>110000</x:v>
      </x:c>
      <x:c r="D142" s="18" t="n">
        <x:f aca="0">B142-C142</x:f>
        <x:v>86510.0756129658</x:v>
      </x:c>
    </x:row>
    <x:row r="144" ht="15" hidden="0">
      <x:c r="A144" s="11" t="s">
        <x:v>278</x:v>
      </x:c>
      <x:c r="B144" s="28" t="n">
        <x:f aca="0">B142*B7</x:f>
        <x:v>186.68457183231752</x:v>
      </x:c>
    </x:row>
    <x:row r="146" ht="15" hidden="0" customHeight="1">
      <x:c r="A146" s="10" t="s">
        <x:v>279</x:v>
      </x:c>
      <x:c r="B146" s="10"/>
      <x:c r="C146" s="10"/>
      <x:c r="D146" s="10"/>
    </x:row>
    <x:row r="147" ht="15" hidden="0">
      <x:c r="A147" s="10"/>
      <x:c r="B147" s="10"/>
      <x:c r="C147" s="10"/>
      <x:c r="D147" s="10"/>
    </x:row>
    <x:row r="148" ht="15" hidden="0">
      <x:c r="A148" s="10"/>
      <x:c r="B148" s="10"/>
      <x:c r="C148" s="10"/>
      <x:c r="D148" s="10"/>
    </x:row>
  </x:sheetData>
  <x:mergeCells>
    <x:mergeCell ref="A1:D1"/>
    <x:mergeCell ref="A146:D148"/>
  </x:mergeCells>
  <x:pageMargins left="0.7" right="0.7" top="0.75" bottom="0.75" header="0.3" footer="0.3"/>
</x:worksheet>
</file>