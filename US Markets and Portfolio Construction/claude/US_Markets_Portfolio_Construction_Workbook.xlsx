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P1 - Cost of Ownership" sheetId="2" state="visible" r:id="rId4"/>
    <sheet name="P1 - NRA Tax" sheetId="3" state="visible" r:id="rId5"/>
    <sheet name="P2 - Diversification" sheetId="4" state="visible" r:id="rId6"/>
    <sheet name="P2 - Blended ER" sheetId="5" state="visible" r:id="rId7"/>
    <sheet name="P3 - HHI Concentration" sheetId="6" state="visible" r:id="rId8"/>
    <sheet name="P4 - Matrix Variance" sheetId="7" state="visible" r:id="rId9"/>
    <sheet name="P4 - Options Wheel" sheetId="8" state="visible" r:id="rId10"/>
    <sheet name="P4 - Tax Calculators" sheetId="9" state="visible" r:id="rId11"/>
    <sheet name="P5 - Rebalancing" sheetId="10" state="visible" r:id="rId12"/>
    <sheet name="P5 - DCA vs Lump Sum" sheetId="11" state="visible" r:id="rId13"/>
    <sheet name="P5 - Sequence of Returns" sheetId="12" state="visible" r:id="rId14"/>
    <sheet name="P5 - Case Study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<sst xmlns="http://schemas.openxmlformats.org/spreadsheetml/2006/main" count="338" uniqueCount="283">
  <si>
    <t xml:space="preserve">US Markets and Portfolio Construction — Companion Workbook</t>
  </si>
  <si>
    <t xml:space="preserve">Every calculation table and worked example across the five-part article series, live and editable.</t>
  </si>
  <si>
    <t xml:space="preserve">Color legend</t>
  </si>
  <si>
    <t xml:space="preserve">Blue text</t>
  </si>
  <si>
    <t xml:space="preserve">A supplied input or assumption. Change these — every formula recalculates.</t>
  </si>
  <si>
    <t xml:space="preserve">Black text</t>
  </si>
  <si>
    <t xml:space="preserve">A formula that calculates using only cells on the same worksheet.</t>
  </si>
  <si>
    <t xml:space="preserve">Green text</t>
  </si>
  <si>
    <t xml:space="preserve">A formula that pulls a value from a different worksheet in this workbook.</t>
  </si>
  <si>
    <t xml:space="preserve">Yellow fill</t>
  </si>
  <si>
    <t xml:space="preserve">A key assumption worth double-checking before relying on the sheet.</t>
  </si>
  <si>
    <t xml:space="preserve">Sheet index</t>
  </si>
  <si>
    <t xml:space="preserve">P1 - Cost of Ownership</t>
  </si>
  <si>
    <t xml:space="preserve">Expense-ratio compounding across six vehicles; Part 1, Table 1 and Appendix 1.</t>
  </si>
  <si>
    <t xml:space="preserve">P1 - NRA Tax</t>
  </si>
  <si>
    <t xml:space="preserve">Nonresident-alien dividend withholding and US estate-tax threshold calculators; Part 1 / Appendix 1.</t>
  </si>
  <si>
    <t xml:space="preserve">P2 - Diversification</t>
  </si>
  <si>
    <t xml:space="preserve">Two- and three-asset portfolio variance, with a correlation-sensitivity table; Part 2 / Appendix 2.</t>
  </si>
  <si>
    <t xml:space="preserve">P2 - Blended ER</t>
  </si>
  <si>
    <t xml:space="preserve">Weighted blended expense ratio for a multi-sleeve core-satellite portfolio; Part 2, Table 2.</t>
  </si>
  <si>
    <t xml:space="preserve">P3 - HHI Concentration</t>
  </si>
  <si>
    <t xml:space="preserve">Herfindahl-Hirschman Index and effective-N calculator for up to 30 holdings; Part 3 / Appendix 3.</t>
  </si>
  <si>
    <t xml:space="preserve">P4 - Matrix Variance</t>
  </si>
  <si>
    <t xml:space="preserve">Four-asset portfolio variance in matrix form; Part 4, Equation 4.1 / Appendix 4.</t>
  </si>
  <si>
    <t xml:space="preserve">P4 - Options Wheel</t>
  </si>
  <si>
    <t xml:space="preserve">Cash-secured put and covered-call cycle economics; Part 4, Table 1 / Appendix 4.</t>
  </si>
  <si>
    <t xml:space="preserve">P4 - Tax Calculators</t>
  </si>
  <si>
    <t xml:space="preserve">Qualified-dividend, wash-sale, and 2026 long-term capital-gains bracket calculators; Part 4.</t>
  </si>
  <si>
    <t xml:space="preserve">P5 - Rebalancing</t>
  </si>
  <si>
    <t xml:space="preserve">One-year drift and the rebalancing trade required to restore target weights; Part 5, Table 2 / Appendix 5.</t>
  </si>
  <si>
    <t xml:space="preserve">P5 - DCA vs Lump Sum</t>
  </si>
  <si>
    <t xml:space="preserve">Lump-sum vs. dollar-cost-averaging comparison under two illustrative return paths; Part 5, Table 1.</t>
  </si>
  <si>
    <t xml:space="preserve">P5 - Sequence of Returns</t>
  </si>
  <si>
    <t xml:space="preserve">Identical average return, reordered, showing the effect of withdrawal timing; Part 5, Table 3 / Appendix 5.</t>
  </si>
  <si>
    <t xml:space="preserve">P5 - Case Study</t>
  </si>
  <si>
    <t xml:space="preserve">Ten-year accumulation projection for the full worked case study; Part 5, Table 4 / Appendix 5.</t>
  </si>
  <si>
    <t xml:space="preserve">All growth-rate, volatility, correlation, and yield figures throughout this workbook are clearly labelled illustrative assumptions for demonstration purposes, matching the corresponding article text — not forecasts, and not personalized financial or tax advice. Expense ratios, statutory tax thresholds, and index-methodology facts are sourced from the primary sources cited in each article's reference list, current as of the 'Accessed' dates shown there.</t>
  </si>
  <si>
    <t xml:space="preserve">Part 1 — Cost of Ownership: Expense-Ratio Compounding</t>
  </si>
  <si>
    <t xml:space="preserve">Change the principal or gross-return assumption below (blue) and every fund's projected value recalculates.</t>
  </si>
  <si>
    <t xml:space="preserve">Initial principal ($)</t>
  </si>
  <si>
    <t xml:space="preserve">Equation 1.1: FV = P × (1 + r − e)^n. r and the horizon (10/20/30y) are the only assumptions; everything else on this sheet is a live formula.</t>
  </si>
  <si>
    <t xml:space="preserve">Assumed gross annual return (before fees)</t>
  </si>
  <si>
    <t xml:space="preserve">Vehicle</t>
  </si>
  <si>
    <t xml:space="preserve">Expense ratio</t>
  </si>
  <si>
    <t xml:space="preserve">Net return (r−e)</t>
  </si>
  <si>
    <t xml:space="preserve">Value after 10y</t>
  </si>
  <si>
    <t xml:space="preserve">Value after 20y</t>
  </si>
  <si>
    <t xml:space="preserve">Value after 30y</t>
  </si>
  <si>
    <t xml:space="preserve">30y cost vs. cheapest</t>
  </si>
  <si>
    <t xml:space="preserve">SPYM (S&amp;P 500)</t>
  </si>
  <si>
    <t xml:space="preserve">VOO / IVV (S&amp;P 500)</t>
  </si>
  <si>
    <t xml:space="preserve">SPY (S&amp;P 500, UIT)</t>
  </si>
  <si>
    <t xml:space="preserve">QQQM (Nasdaq-100)</t>
  </si>
  <si>
    <t xml:space="preserve">QQQ (Nasdaq-100)</t>
  </si>
  <si>
    <t xml:space="preserve">Illustrative actively managed fund</t>
  </si>
  <si>
    <t xml:space="preserve">Row 1 (SPYM) is the cheapest vehicle in this illustration, so its own 30-year cost-vs-cheapest is $0 by construction.</t>
  </si>
  <si>
    <t xml:space="preserve">Sensitivity: 30-year value at different gross-return assumptions (Appendix 1, A1.3)</t>
  </si>
  <si>
    <t xml:space="preserve">Gross return</t>
  </si>
  <si>
    <t xml:space="preserve">Part 1 — Nonresident-Alien Withholding and Estate-Tax Thresholds</t>
  </si>
  <si>
    <t xml:space="preserve">1. Dividend withholding</t>
  </si>
  <si>
    <t xml:space="preserve">Position size ($)</t>
  </si>
  <si>
    <t xml:space="preserve">Illustrative annual yield</t>
  </si>
  <si>
    <t xml:space="preserve">No-treaty statutory withholding rate</t>
  </si>
  <si>
    <t xml:space="preserve">Illustrative treaty withholding rate</t>
  </si>
  <si>
    <t xml:space="preserve">Gross annual dividend</t>
  </si>
  <si>
    <t xml:space="preserve">Withholding rate</t>
  </si>
  <si>
    <t xml:space="preserve">Tax withheld</t>
  </si>
  <si>
    <t xml:space="preserve">Net received</t>
  </si>
  <si>
    <t xml:space="preserve">No treaty</t>
  </si>
  <si>
    <t xml:space="preserve">Illustrative treaty</t>
  </si>
  <si>
    <t xml:space="preserve">Annual gap from lacking a treaty</t>
  </si>
  <si>
    <t xml:space="preserve">2. US estate tax — Table A unified rate schedule (IRC §2001(c))</t>
  </si>
  <si>
    <t xml:space="preserve">Bracket lower</t>
  </si>
  <si>
    <t xml:space="preserve">Bracket upper</t>
  </si>
  <si>
    <t xml:space="preserve">Base tax at lower bound</t>
  </si>
  <si>
    <t xml:space="preserve">Marginal rate on excess</t>
  </si>
  <si>
    <t xml:space="preserve">Unified credit (nonresident alien)</t>
  </si>
  <si>
    <t xml:space="preserve">Change the yellow cell (B30) to any US-situs estate value; the bracket lookup, tentative tax, and net tax below all recalculate via MATCH/INDEX against the Table A schedule above.</t>
  </si>
  <si>
    <t xml:space="preserve">US-situs gross estate to evaluate</t>
  </si>
  <si>
    <t xml:space="preserve">Bracket found (MATCH)</t>
  </si>
  <si>
    <t xml:space="preserve">Base tax at that bracket</t>
  </si>
  <si>
    <t xml:space="preserve">Rate on excess</t>
  </si>
  <si>
    <t xml:space="preserve">Bracket lower bound</t>
  </si>
  <si>
    <t xml:space="preserve">Tentative tax (Table A)</t>
  </si>
  <si>
    <t xml:space="preserve">Less: unified credit</t>
  </si>
  <si>
    <t xml:space="preserve">Net US estate tax</t>
  </si>
  <si>
    <t xml:space="preserve">Form 706-NA filing required?</t>
  </si>
  <si>
    <t xml:space="preserve">Part 2 — Two-Asset Diversification Mathematics (Equation 2.1)</t>
  </si>
  <si>
    <t xml:space="preserve">Equity weight (w1)</t>
  </si>
  <si>
    <t xml:space="preserve">Bond weight (w2, = 1-w1)</t>
  </si>
  <si>
    <t xml:space="preserve">Equity volatility (sigma1)</t>
  </si>
  <si>
    <t xml:space="preserve">Bond volatility (sigma2)</t>
  </si>
  <si>
    <t xml:space="preserve">Correlation (rho)</t>
  </si>
  <si>
    <t xml:space="preserve">Portfolio variance</t>
  </si>
  <si>
    <t xml:space="preserve">Portfolio standard deviation</t>
  </si>
  <si>
    <t xml:space="preserve">Naive linear-weighted SD</t>
  </si>
  <si>
    <t xml:space="preserve">Diversification benefit</t>
  </si>
  <si>
    <t xml:space="preserve">Sensitivity to the correlation assumption (weights and vols fixed at rows 3-6)</t>
  </si>
  <si>
    <t xml:space="preserve">Portfolio SD</t>
  </si>
  <si>
    <t xml:space="preserve">Naive linear blend</t>
  </si>
  <si>
    <t xml:space="preserve">Three-asset variance (Appendix 2, A2.3): equity core, bond core, sector satellite</t>
  </si>
  <si>
    <t xml:space="preserve">Asset</t>
  </si>
  <si>
    <t xml:space="preserve">Weight</t>
  </si>
  <si>
    <t xml:space="preserve">Volatility</t>
  </si>
  <si>
    <t xml:space="preserve">Equity core (eq)</t>
  </si>
  <si>
    <t xml:space="preserve">Bond core (bd)</t>
  </si>
  <si>
    <t xml:space="preserve">Sector satellite (sat)</t>
  </si>
  <si>
    <t xml:space="preserve">Correlation eq-bd</t>
  </si>
  <si>
    <t xml:space="preserve">Correlation eq-sat</t>
  </si>
  <si>
    <t xml:space="preserve">Correlation bd-sat</t>
  </si>
  <si>
    <t xml:space="preserve">Three-asset portfolio variance</t>
  </si>
  <si>
    <t xml:space="preserve">Three-asset portfolio SD</t>
  </si>
  <si>
    <t xml:space="preserve">Part 2 — Blended Expense Ratio of a Core-Satellite Portfolio</t>
  </si>
  <si>
    <t xml:space="preserve">Total portfolio value ($)</t>
  </si>
  <si>
    <t xml:space="preserve">Sleeve</t>
  </si>
  <si>
    <t xml:space="preserve">$ Value</t>
  </si>
  <si>
    <t xml:space="preserve">Weighted contribution to blended ER</t>
  </si>
  <si>
    <t xml:space="preserve">SPYM (S&amp;P 500 core)</t>
  </si>
  <si>
    <t xml:space="preserve">AGG (US aggregate bond core)</t>
  </si>
  <si>
    <t xml:space="preserve">QQQM (Nasdaq-100, core-plus growth tilt)</t>
  </si>
  <si>
    <t xml:space="preserve">Dividend-quality satellite (e.g., SCHD)</t>
  </si>
  <si>
    <t xml:space="preserve">Sector satellite (e.g., semiconductors)</t>
  </si>
  <si>
    <t xml:space="preserve">Total</t>
  </si>
  <si>
    <t xml:space="preserve">Annual dollar cost of the blended ER</t>
  </si>
  <si>
    <t xml:space="preserve">Two risk-posture variants</t>
  </si>
  <si>
    <t xml:space="preserve">Conservative weight</t>
  </si>
  <si>
    <t xml:space="preserve">Growth-oriented weight</t>
  </si>
  <si>
    <t xml:space="preserve">AGG (bond core)</t>
  </si>
  <si>
    <t xml:space="preserve">QQQM (growth tilt)</t>
  </si>
  <si>
    <t xml:space="preserve">Dividend-quality satellite</t>
  </si>
  <si>
    <t xml:space="preserve">Sector satellite</t>
  </si>
  <si>
    <t xml:space="preserve">Blended ER (using expense ratios from the table above)</t>
  </si>
  <si>
    <t xml:space="preserve">Part 3 — Herfindahl-Hirschman Index and Effective-N Calculator</t>
  </si>
  <si>
    <t xml:space="preserve">Paste up to 30 holding weights (as decimals, e.g. 0.08 for 8%) into column B. Unused rows can be left at 0%.</t>
  </si>
  <si>
    <t xml:space="preserve">#</t>
  </si>
  <si>
    <t xml:space="preserve">This sheet ships pre-loaded with a pure equal-weight, 30-holding example (effective N should equal 30.0). Overwrite column B with any fund's actual published weights to check its real concentration.</t>
  </si>
  <si>
    <t xml:space="preserve">Sum of weights (should be 100%)</t>
  </si>
  <si>
    <t xml:space="preserve">HHI (=SUMSQ of weights)</t>
  </si>
  <si>
    <t xml:space="preserve">Effective N (=1/HHI)</t>
  </si>
  <si>
    <t xml:space="preserve">Nominal count of nonzero holdings</t>
  </si>
  <si>
    <t xml:space="preserve">Reference: equal-weight effective N at different nominal N (Appendix 3, A3.1)</t>
  </si>
  <si>
    <t xml:space="preserve">Nominal N</t>
  </si>
  <si>
    <t xml:space="preserve">HHI (=1/N)</t>
  </si>
  <si>
    <t xml:space="preserve">Effective N (=N)</t>
  </si>
  <si>
    <t xml:space="preserve">Reference: effect of one dominant holding in an otherwise-equal 30-name fund (Appendix 3, A3.2)</t>
  </si>
  <si>
    <t xml:space="preserve">Top holding weight</t>
  </si>
  <si>
    <t xml:space="preserve">Each remaining holding</t>
  </si>
  <si>
    <t xml:space="preserve">HHI</t>
  </si>
  <si>
    <t xml:space="preserve">Effective N</t>
  </si>
  <si>
    <t xml:space="preserve">Part 4 — Four-Asset Portfolio Variance (Equation 4.1: sigma_p^2 = w'.Sigma.w)</t>
  </si>
  <si>
    <t xml:space="preserve">Weights</t>
  </si>
  <si>
    <t xml:space="preserve">SPYM</t>
  </si>
  <si>
    <t xml:space="preserve">AGG</t>
  </si>
  <si>
    <t xml:space="preserve">QQQM</t>
  </si>
  <si>
    <t xml:space="preserve">Satellite blend</t>
  </si>
  <si>
    <t xml:space="preserve">Volatilities (annualized)</t>
  </si>
  <si>
    <t xml:space="preserve">Correlation matrix</t>
  </si>
  <si>
    <t xml:space="preserve">Covariance matrix (=vol_i * vol_j * rho_ij)</t>
  </si>
  <si>
    <t xml:space="preserve">Portfolio variance (full double-sum expansion of w'.Sigma.w)</t>
  </si>
  <si>
    <t xml:space="preserve">The formula in B26 is the full 16-term double sum (4x4) behind Equation 4.1 — algebraically identical to the compact w'.Sigma.w matrix notation used in the article.</t>
  </si>
  <si>
    <t xml:space="preserve">Part 4 — Options Wheel: Cash-Secured Put + Covered Call Cycle</t>
  </si>
  <si>
    <t xml:space="preserve">Stage 1: Cash-secured put</t>
  </si>
  <si>
    <t xml:space="preserve">Current stock price</t>
  </si>
  <si>
    <t xml:space="preserve">Put strike</t>
  </si>
  <si>
    <t xml:space="preserve">Put premium (per share)</t>
  </si>
  <si>
    <t xml:space="preserve">Contracts</t>
  </si>
  <si>
    <t xml:space="preserve">Collateral required (strike x 100 x contracts)</t>
  </si>
  <si>
    <t xml:space="preserve">Premium collected (premium x 100 x contracts)</t>
  </si>
  <si>
    <t xml:space="preserve">Breakeven if assigned (strike - premium)</t>
  </si>
  <si>
    <t xml:space="preserve">Return on collateral if put expires worthless</t>
  </si>
  <si>
    <t xml:space="preserve">Naive annualized (x12, no compounding, illustrative only)</t>
  </si>
  <si>
    <t xml:space="preserve">Stage 2: If assigned -&gt; covered call</t>
  </si>
  <si>
    <t xml:space="preserve">Effective cost basis after assignment (=B11)</t>
  </si>
  <si>
    <t xml:space="preserve">Covered call strike</t>
  </si>
  <si>
    <t xml:space="preserve">Covered call premium (per share)</t>
  </si>
  <si>
    <t xml:space="preserve">Effective sale price if called away (strike+premium)</t>
  </si>
  <si>
    <t xml:space="preserve">Combined gain per share across full cycle</t>
  </si>
  <si>
    <t xml:space="preserve">Combined gain, 100 shares</t>
  </si>
  <si>
    <t xml:space="preserve">Total return on effective basis across the cycle</t>
  </si>
  <si>
    <t xml:space="preserve">Adverse scenario: stock falls after assignment</t>
  </si>
  <si>
    <t xml:space="preserve">Illustrative crash price</t>
  </si>
  <si>
    <t xml:space="preserve">Unrealized loss per share vs. effective basis</t>
  </si>
  <si>
    <t xml:space="preserve">Unrealized loss, 100 shares</t>
  </si>
  <si>
    <t xml:space="preserve">Premium income collected so far (Stage 1 only)</t>
  </si>
  <si>
    <t xml:space="preserve">Net position (premium less unrealized loss)</t>
  </si>
  <si>
    <t xml:space="preserve">Sensitivity: yield at different strike selections (Appendix 4, A4.2)</t>
  </si>
  <si>
    <t xml:space="preserve">Strike</t>
  </si>
  <si>
    <t xml:space="preserve">Premium (per share)</t>
  </si>
  <si>
    <t xml:space="preserve">Period yield on collateral</t>
  </si>
  <si>
    <t xml:space="preserve">Part 4 — Dividend, Wash-Sale, and Capital-Gains Tax Calculators</t>
  </si>
  <si>
    <t xml:space="preserve">1. Qualified vs. non-qualified dividend</t>
  </si>
  <si>
    <t xml:space="preserve">Dividend payout</t>
  </si>
  <si>
    <t xml:space="preserve">Qualified (LTCG) rate</t>
  </si>
  <si>
    <t xml:space="preserve">Ordinary marginal rate</t>
  </si>
  <si>
    <t xml:space="preserve">Tax if qualified</t>
  </si>
  <si>
    <t xml:space="preserve">Tax if non-qualified</t>
  </si>
  <si>
    <t xml:space="preserve">Net if qualified</t>
  </si>
  <si>
    <t xml:space="preserve">Net if non-qualified</t>
  </si>
  <si>
    <t xml:space="preserve">Difference</t>
  </si>
  <si>
    <t xml:space="preserve">2. Wash-sale rule</t>
  </si>
  <si>
    <t xml:space="preserve">Shares</t>
  </si>
  <si>
    <t xml:space="preserve">Buy price</t>
  </si>
  <si>
    <t xml:space="preserve">Sell price (at a loss)</t>
  </si>
  <si>
    <t xml:space="preserve">Realized loss</t>
  </si>
  <si>
    <t xml:space="preserve">Repurchase price (within 30 days)</t>
  </si>
  <si>
    <t xml:space="preserve">Shares repurchased within the window</t>
  </si>
  <si>
    <t xml:space="preserve">Disallowed portion of the loss</t>
  </si>
  <si>
    <t xml:space="preserve">Allowed loss this year (not repurchased)</t>
  </si>
  <si>
    <t xml:space="preserve">New position cost (repurchase price x shares)</t>
  </si>
  <si>
    <t xml:space="preserve">New basis after adding disallowed loss</t>
  </si>
  <si>
    <t xml:space="preserve">New basis per share</t>
  </si>
  <si>
    <t xml:space="preserve">3. 2026 long-term capital-gains bracket calculator (single filer, Rev. Proc. 2025-32)</t>
  </si>
  <si>
    <t xml:space="preserve">Ordinary taxable income</t>
  </si>
  <si>
    <t xml:space="preserve">Change the two yellow cells (ordinary income, gain). The bracket math correctly handles a gain that straddles more than one bracket, stacking it on top of ordinary income.</t>
  </si>
  <si>
    <t xml:space="preserve">Long-term capital gain</t>
  </si>
  <si>
    <t xml:space="preserve">0% bracket ceiling</t>
  </si>
  <si>
    <t xml:space="preserve">15% bracket ceiling</t>
  </si>
  <si>
    <t xml:space="preserve">Total income (ordinary + gain)</t>
  </si>
  <si>
    <t xml:space="preserve">Amount taxed at 0%</t>
  </si>
  <si>
    <t xml:space="preserve">Amount taxed at 15%</t>
  </si>
  <si>
    <t xml:space="preserve">Amount taxed at 20%</t>
  </si>
  <si>
    <t xml:space="preserve">LTCG tax owed</t>
  </si>
  <si>
    <t xml:space="preserve">Effective rate on the gain</t>
  </si>
  <si>
    <t xml:space="preserve">Part 5 — One-Year Drift and the Rebalancing Trade</t>
  </si>
  <si>
    <t xml:space="preserve">Portfolio total ($)</t>
  </si>
  <si>
    <t xml:space="preserve">Starting weight</t>
  </si>
  <si>
    <t xml:space="preserve">Illustrative 1yr return</t>
  </si>
  <si>
    <t xml:space="preserve">Starting value</t>
  </si>
  <si>
    <t xml:space="preserve">Ending value (before rebalancing)</t>
  </si>
  <si>
    <t xml:space="preserve">Ending weight</t>
  </si>
  <si>
    <t xml:space="preserve">SPYM (equity core)</t>
  </si>
  <si>
    <t xml:space="preserve">Rebalancing trade to restore target weights</t>
  </si>
  <si>
    <t xml:space="preserve">Current value</t>
  </si>
  <si>
    <t xml:space="preserve">Target weight</t>
  </si>
  <si>
    <t xml:space="preserve">Target value</t>
  </si>
  <si>
    <t xml:space="preserve">Trade</t>
  </si>
  <si>
    <t xml:space="preserve">Action</t>
  </si>
  <si>
    <t xml:space="preserve">Net (should be $0 -- a rebalance moves money between sleeves, not in or out)</t>
  </si>
  <si>
    <t xml:space="preserve">Part 5 — Lump Sum vs. Dollar-Cost Averaging, Two Illustrative Paths</t>
  </si>
  <si>
    <t xml:space="preserve">Lump sum amount</t>
  </si>
  <si>
    <t xml:space="preserve">Monthly DCA x 12 months = lump sum, so the two are directly comparable.</t>
  </si>
  <si>
    <t xml:space="preserve">Monthly DCA contribution</t>
  </si>
  <si>
    <t xml:space="preserve">Month</t>
  </si>
  <si>
    <t xml:space="preserve">Steady-rise monthly return</t>
  </si>
  <si>
    <t xml:space="preserve">Dip-then-recover monthly return</t>
  </si>
  <si>
    <t xml:space="preserve">Lump-sum ending value (steady-rise path)</t>
  </si>
  <si>
    <t xml:space="preserve">Lump-sum ending value (dip-then-recover path)</t>
  </si>
  <si>
    <t xml:space="preserve">DCA month-by-month balance</t>
  </si>
  <si>
    <t xml:space="preserve">Steady-rise balance</t>
  </si>
  <si>
    <t xml:space="preserve">Dip-then-recover balance</t>
  </si>
  <si>
    <t xml:space="preserve">Summary</t>
  </si>
  <si>
    <t xml:space="preserve">Scenario</t>
  </si>
  <si>
    <t xml:space="preserve">Lump sum ending value</t>
  </si>
  <si>
    <t xml:space="preserve">DCA ending value</t>
  </si>
  <si>
    <t xml:space="preserve">Lump-sum advantage</t>
  </si>
  <si>
    <t xml:space="preserve">Steady rise</t>
  </si>
  <si>
    <t xml:space="preserve">Dip then recover</t>
  </si>
  <si>
    <t xml:space="preserve">Part 5 — Sequence-of-Returns Risk: Same Average Return, Different Order</t>
  </si>
  <si>
    <t xml:space="preserve">Fixed annual withdrawal (not inflation-adjusted, to isolate the sequencing effect)</t>
  </si>
  <si>
    <t xml:space="preserve">Year</t>
  </si>
  <si>
    <t xml:space="preserve">Retiree A return (bad years first)</t>
  </si>
  <si>
    <t xml:space="preserve">Retiree A value</t>
  </si>
  <si>
    <t xml:space="preserve">Retiree B return (bad years last)</t>
  </si>
  <si>
    <t xml:space="preserve">Retiree B value</t>
  </si>
  <si>
    <t xml:space="preserve">Average annual return, both retirees (identical by construction)</t>
  </si>
  <si>
    <t xml:space="preserve">Ending value, Retiree A (bad years first)</t>
  </si>
  <si>
    <t xml:space="preserve">Ending value, Retiree B (bad years last)</t>
  </si>
  <si>
    <t xml:space="preserve">Gap purely from the timing of identical shock years</t>
  </si>
  <si>
    <t xml:space="preserve">Both retirees experience the identical set of ten annual returns (two -20%/-15% shock years plus eight positive years); only the ORDER differs. Equation 5.1 (Vt = Vt-1 x (1+rt) - W) is applied identically each year -- the divergent outcome comes entirely from where the shock years fall in that sequence, not from any difference in average performance.</t>
  </si>
  <si>
    <t xml:space="preserve">Part 5 — Full Case Study: Ten-Year Accumulation Projection</t>
  </si>
  <si>
    <t xml:space="preserve">Starting balance</t>
  </si>
  <si>
    <t xml:space="preserve">Monthly contribution</t>
  </si>
  <si>
    <t xml:space="preserve">Assumed annual return (illustrative)</t>
  </si>
  <si>
    <t xml:space="preserve">Equivalent monthly rate</t>
  </si>
  <si>
    <t xml:space="preserve">Blended expense ratio (growth-oriented variant, from P2 sheet)</t>
  </si>
  <si>
    <t xml:space="preserve">Balance</t>
  </si>
  <si>
    <t xml:space="preserve">Cumulative contributions</t>
  </si>
  <si>
    <t xml:space="preserve">Year-end summary</t>
  </si>
  <si>
    <t xml:space="preserve">End of year</t>
  </si>
  <si>
    <t xml:space="preserve">Projected balance</t>
  </si>
  <si>
    <t xml:space="preserve">Growth from returns</t>
  </si>
  <si>
    <t xml:space="preserve">Approx. annual cost of ownership in year 10 (balance x blended ER)</t>
  </si>
  <si>
    <t xml:space="preserve">Rows 10-129 (hidden detail) run the month-by-month compounding formula (Equation 5.3) for all 120 months; the year-end summary above pulls the balance at the end of each 12th month. Change the starting balance, monthly contribution, or return assumption in B3:B5 and every downstream figure recalculates, including the blended-ER figure pulled live from the 'P2 - Blended ER' worksheet.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</si>
</sst>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;&quot;($&quot;#,##0\)"/>
    <numFmt numFmtId="166" formatCode="0.0%"/>
    <numFmt numFmtId="167" formatCode="0.000%"/>
    <numFmt numFmtId="168" formatCode="\$#,##0.00;&quot;($&quot;#,##0.00\)"/>
    <numFmt numFmtId="169" formatCode="0.00000"/>
    <numFmt numFmtId="170" formatCode="0.00%"/>
    <numFmt numFmtId="171" formatCode="0.0000"/>
    <numFmt numFmtId="172" formatCode="0.0"/>
    <numFmt numFmtId="173" formatCode="0.00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05496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1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70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5" t="s">
        <v>3</v>
      </c>
      <c r="B5" s="6" t="s">
        <v>4</v>
      </c>
    </row>
    <row r="6" customFormat="false" ht="15" hidden="false" customHeight="false" outlineLevel="0" collapsed="false">
      <c r="A6" s="1" t="s">
        <v>5</v>
      </c>
      <c r="B6" s="1" t="s">
        <v>6</v>
      </c>
    </row>
    <row r="7" customFormat="false" ht="15" hidden="false" customHeight="false" outlineLevel="0" collapsed="false">
      <c r="A7" s="7" t="s">
        <v>7</v>
      </c>
      <c r="B7" s="6" t="s">
        <v>8</v>
      </c>
    </row>
    <row r="8" customFormat="false" ht="15" hidden="false" customHeight="false" outlineLevel="0" collapsed="false">
      <c r="A8" s="8" t="s">
        <v>9</v>
      </c>
      <c r="B8" s="6" t="s">
        <v>10</v>
      </c>
    </row>
    <row r="10" customFormat="false" ht="15" hidden="false" customHeight="false" outlineLevel="0" collapsed="false">
      <c r="A10" s="4" t="s">
        <v>11</v>
      </c>
    </row>
    <row r="11" customFormat="false" ht="26.85" hidden="false" customHeight="false" outlineLevel="0" collapsed="false">
      <c r="A11" s="4" t="s">
        <v>12</v>
      </c>
      <c r="B11" s="9" t="s">
        <v>13</v>
      </c>
    </row>
    <row r="12" customFormat="false" ht="26.85" hidden="false" customHeight="false" outlineLevel="0" collapsed="false">
      <c r="A12" s="4" t="s">
        <v>14</v>
      </c>
      <c r="B12" s="9" t="s">
        <v>15</v>
      </c>
    </row>
    <row r="13" customFormat="false" ht="26.85" hidden="false" customHeight="false" outlineLevel="0" collapsed="false">
      <c r="A13" s="4" t="s">
        <v>16</v>
      </c>
      <c r="B13" s="9" t="s">
        <v>17</v>
      </c>
    </row>
    <row r="14" customFormat="false" ht="26.85" hidden="false" customHeight="false" outlineLevel="0" collapsed="false">
      <c r="A14" s="4" t="s">
        <v>18</v>
      </c>
      <c r="B14" s="9" t="s">
        <v>19</v>
      </c>
    </row>
    <row r="15" customFormat="false" ht="26.85" hidden="false" customHeight="false" outlineLevel="0" collapsed="false">
      <c r="A15" s="4" t="s">
        <v>20</v>
      </c>
      <c r="B15" s="9" t="s">
        <v>21</v>
      </c>
    </row>
    <row r="16" customFormat="false" ht="26.85" hidden="false" customHeight="false" outlineLevel="0" collapsed="false">
      <c r="A16" s="4" t="s">
        <v>22</v>
      </c>
      <c r="B16" s="9" t="s">
        <v>23</v>
      </c>
    </row>
    <row r="17" customFormat="false" ht="26.85" hidden="false" customHeight="false" outlineLevel="0" collapsed="false">
      <c r="A17" s="4" t="s">
        <v>24</v>
      </c>
      <c r="B17" s="9" t="s">
        <v>25</v>
      </c>
    </row>
    <row r="18" customFormat="false" ht="26.85" hidden="false" customHeight="false" outlineLevel="0" collapsed="false">
      <c r="A18" s="4" t="s">
        <v>26</v>
      </c>
      <c r="B18" s="9" t="s">
        <v>27</v>
      </c>
    </row>
    <row r="19" customFormat="false" ht="26.85" hidden="false" customHeight="false" outlineLevel="0" collapsed="false">
      <c r="A19" s="4" t="s">
        <v>28</v>
      </c>
      <c r="B19" s="9" t="s">
        <v>29</v>
      </c>
    </row>
    <row r="20" customFormat="false" ht="26.85" hidden="false" customHeight="false" outlineLevel="0" collapsed="false">
      <c r="A20" s="4" t="s">
        <v>30</v>
      </c>
      <c r="B20" s="9" t="s">
        <v>31</v>
      </c>
    </row>
    <row r="21" customFormat="false" ht="26.85" hidden="false" customHeight="false" outlineLevel="0" collapsed="false">
      <c r="A21" s="4" t="s">
        <v>32</v>
      </c>
      <c r="B21" s="9" t="s">
        <v>33</v>
      </c>
    </row>
    <row r="22" customFormat="false" ht="26.85" hidden="false" customHeight="false" outlineLevel="0" collapsed="false">
      <c r="A22" s="4" t="s">
        <v>34</v>
      </c>
      <c r="B22" s="9" t="s">
        <v>35</v>
      </c>
    </row>
    <row r="25" customFormat="false" ht="60" hidden="false" customHeight="true" outlineLevel="0" collapsed="false">
      <c r="A25" s="10" t="s">
        <v>36</v>
      </c>
      <c r="B25" s="10"/>
    </row>
  </sheetData>
  <mergeCells count="2">
    <mergeCell ref="A1:F1"/>
    <mergeCell ref="A25: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12"/>
    <col collapsed="false" customWidth="true" hidden="false" outlineLevel="0" max="6" min="4" style="1" width="14"/>
    <col collapsed="false" customWidth="true" hidden="false" outlineLevel="0" max="7" min="7" style="1" width="16"/>
  </cols>
  <sheetData>
    <row r="1" customFormat="false" ht="17.35" hidden="false" customHeight="false" outlineLevel="0" collapsed="false">
      <c r="A1" s="2" t="s">
        <v>37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10" t="s">
        <v>38</v>
      </c>
      <c r="B2" s="10"/>
      <c r="C2" s="10"/>
      <c r="D2" s="10"/>
      <c r="E2" s="10"/>
      <c r="F2" s="10"/>
      <c r="G2" s="10"/>
    </row>
    <row r="4" customFormat="false" ht="15" hidden="false" customHeight="true" outlineLevel="0" collapsed="false">
      <c r="A4" s="11" t="s">
        <v>39</v>
      </c>
      <c r="B4" s="12" t="n">
        <v>10000</v>
      </c>
      <c r="D4" s="10" t="s">
        <v>40</v>
      </c>
      <c r="E4" s="10"/>
      <c r="F4" s="10"/>
      <c r="G4" s="10"/>
    </row>
    <row r="5" customFormat="false" ht="15" hidden="false" customHeight="false" outlineLevel="0" collapsed="false">
      <c r="A5" s="11" t="s">
        <v>41</v>
      </c>
      <c r="B5" s="13" t="n">
        <v>0.08</v>
      </c>
      <c r="D5" s="10"/>
      <c r="E5" s="10"/>
      <c r="F5" s="10"/>
      <c r="G5" s="10"/>
    </row>
    <row r="7" customFormat="false" ht="26.85" hidden="false" customHeight="false" outlineLevel="0" collapsed="false">
      <c r="A7" s="14" t="s">
        <v>42</v>
      </c>
      <c r="B7" s="14" t="s">
        <v>43</v>
      </c>
      <c r="C7" s="14" t="s">
        <v>44</v>
      </c>
      <c r="D7" s="14" t="s">
        <v>45</v>
      </c>
      <c r="E7" s="14" t="s">
        <v>46</v>
      </c>
      <c r="F7" s="14" t="s">
        <v>47</v>
      </c>
      <c r="G7" s="14" t="s">
        <v>48</v>
      </c>
    </row>
    <row r="8" customFormat="false" ht="15" hidden="false" customHeight="false" outlineLevel="0" collapsed="false">
      <c r="A8" s="15" t="s">
        <v>49</v>
      </c>
      <c r="B8" s="16" t="n">
        <v>0.0002</v>
      </c>
      <c r="C8" s="17" t="n">
        <f aca="false">$B$5-B8</f>
        <v>0.0798</v>
      </c>
      <c r="D8" s="18" t="n">
        <f aca="false">$B$4*(1+C8)^10</f>
        <v>21549.3031804822</v>
      </c>
      <c r="E8" s="18" t="n">
        <f aca="false">$B$4*(1+C8)^20</f>
        <v>46437.246756434</v>
      </c>
      <c r="F8" s="18" t="n">
        <f aca="false">$B$4*(1+C8)^30</f>
        <v>100069.030922126</v>
      </c>
      <c r="G8" s="18" t="n">
        <f aca="false">$F$8-F8</f>
        <v>0</v>
      </c>
    </row>
    <row r="9" customFormat="false" ht="15" hidden="false" customHeight="false" outlineLevel="0" collapsed="false">
      <c r="A9" s="15" t="s">
        <v>50</v>
      </c>
      <c r="B9" s="16" t="n">
        <v>0.0003</v>
      </c>
      <c r="C9" s="17" t="n">
        <f aca="false">$B$5-B9</f>
        <v>0.0797</v>
      </c>
      <c r="D9" s="18" t="n">
        <f aca="false">$B$4*(1+C9)^10</f>
        <v>21529.3547410873</v>
      </c>
      <c r="E9" s="18" t="n">
        <f aca="false">$B$4*(1+C9)^20</f>
        <v>46351.311556758</v>
      </c>
      <c r="F9" s="18" t="n">
        <f aca="false">$B$4*(1+C9)^30</f>
        <v>99791.3829220105</v>
      </c>
      <c r="G9" s="18" t="n">
        <f aca="false">$F$8-F9</f>
        <v>277.648000115514</v>
      </c>
    </row>
    <row r="10" customFormat="false" ht="15" hidden="false" customHeight="false" outlineLevel="0" collapsed="false">
      <c r="A10" s="15" t="s">
        <v>51</v>
      </c>
      <c r="B10" s="16" t="n">
        <v>0.000945</v>
      </c>
      <c r="C10" s="17" t="n">
        <f aca="false">$B$5-B10</f>
        <v>0.079055</v>
      </c>
      <c r="D10" s="18" t="n">
        <f aca="false">$B$4*(1+C10)^10</f>
        <v>21401.086119676</v>
      </c>
      <c r="E10" s="18" t="n">
        <f aca="false">$B$4*(1+C10)^20</f>
        <v>45800.6487101788</v>
      </c>
      <c r="F10" s="18" t="n">
        <f aca="false">$B$4*(1+C10)^30</f>
        <v>98018.3627383565</v>
      </c>
      <c r="G10" s="18" t="n">
        <f aca="false">$F$8-F10</f>
        <v>2050.66818376958</v>
      </c>
    </row>
    <row r="11" customFormat="false" ht="15" hidden="false" customHeight="false" outlineLevel="0" collapsed="false">
      <c r="A11" s="15" t="s">
        <v>52</v>
      </c>
      <c r="B11" s="16" t="n">
        <v>0.0015</v>
      </c>
      <c r="C11" s="17" t="n">
        <f aca="false">$B$5-B11</f>
        <v>0.0785</v>
      </c>
      <c r="D11" s="18" t="n">
        <f aca="false">$B$4*(1+C11)^10</f>
        <v>21291.2664213542</v>
      </c>
      <c r="E11" s="18" t="n">
        <f aca="false">$B$4*(1+C11)^20</f>
        <v>45331.8025825085</v>
      </c>
      <c r="F11" s="18" t="n">
        <f aca="false">$B$4*(1+C11)^30</f>
        <v>96517.1486144421</v>
      </c>
      <c r="G11" s="18" t="n">
        <f aca="false">$F$8-F11</f>
        <v>3551.88230768401</v>
      </c>
    </row>
    <row r="12" customFormat="false" ht="15" hidden="false" customHeight="false" outlineLevel="0" collapsed="false">
      <c r="A12" s="15" t="s">
        <v>53</v>
      </c>
      <c r="B12" s="16" t="n">
        <v>0.0018</v>
      </c>
      <c r="C12" s="17" t="n">
        <f aca="false">$B$5-B12</f>
        <v>0.0782</v>
      </c>
      <c r="D12" s="18" t="n">
        <f aca="false">$B$4*(1+C12)^10</f>
        <v>21232.1158369806</v>
      </c>
      <c r="E12" s="18" t="n">
        <f aca="false">$B$4*(1+C12)^20</f>
        <v>45080.2742914963</v>
      </c>
      <c r="F12" s="18" t="n">
        <f aca="false">$B$4*(1+C12)^30</f>
        <v>95714.9605719909</v>
      </c>
      <c r="G12" s="18" t="n">
        <f aca="false">$F$8-F12</f>
        <v>4354.07035013512</v>
      </c>
    </row>
    <row r="13" customFormat="false" ht="15" hidden="false" customHeight="false" outlineLevel="0" collapsed="false">
      <c r="A13" s="15" t="s">
        <v>54</v>
      </c>
      <c r="B13" s="16" t="n">
        <v>0.0075</v>
      </c>
      <c r="C13" s="17" t="n">
        <f aca="false">$B$5-B13</f>
        <v>0.0725</v>
      </c>
      <c r="D13" s="18" t="n">
        <f aca="false">$B$4*(1+C13)^10</f>
        <v>20135.9910064868</v>
      </c>
      <c r="E13" s="18" t="n">
        <f aca="false">$B$4*(1+C13)^20</f>
        <v>40545.8133813316</v>
      </c>
      <c r="F13" s="18" t="n">
        <f aca="false">$B$4*(1+C13)^30</f>
        <v>81643.0133597185</v>
      </c>
      <c r="G13" s="18" t="n">
        <f aca="false">$F$8-F13</f>
        <v>18426.0175624076</v>
      </c>
    </row>
    <row r="15" customFormat="false" ht="15" hidden="false" customHeight="true" outlineLevel="0" collapsed="false">
      <c r="A15" s="10" t="s">
        <v>55</v>
      </c>
      <c r="B15" s="10"/>
      <c r="C15" s="10"/>
      <c r="D15" s="10"/>
      <c r="E15" s="10"/>
      <c r="F15" s="10"/>
      <c r="G15" s="10"/>
    </row>
    <row r="17" customFormat="false" ht="15" hidden="false" customHeight="false" outlineLevel="0" collapsed="false">
      <c r="A17" s="19" t="s">
        <v>56</v>
      </c>
      <c r="B17" s="19"/>
      <c r="C17" s="19"/>
      <c r="D17" s="19"/>
      <c r="E17" s="19"/>
      <c r="F17" s="19"/>
      <c r="G17" s="19"/>
    </row>
    <row r="18" customFormat="false" ht="39.55" hidden="false" customHeight="false" outlineLevel="0" collapsed="false">
      <c r="A18" s="14" t="s">
        <v>57</v>
      </c>
      <c r="B18" s="14" t="s">
        <v>49</v>
      </c>
      <c r="C18" s="14" t="s">
        <v>50</v>
      </c>
      <c r="D18" s="14" t="s">
        <v>51</v>
      </c>
      <c r="E18" s="14" t="s">
        <v>52</v>
      </c>
      <c r="F18" s="14" t="s">
        <v>53</v>
      </c>
      <c r="G18" s="14" t="s">
        <v>54</v>
      </c>
    </row>
    <row r="19" customFormat="false" ht="15" hidden="false" customHeight="false" outlineLevel="0" collapsed="false">
      <c r="A19" s="20" t="n">
        <v>0.03</v>
      </c>
      <c r="B19" s="18" t="n">
        <f aca="false">$B$4*(1+$A19-$B$8)^30</f>
        <v>24131.6281604217</v>
      </c>
      <c r="C19" s="18" t="n">
        <f aca="false">$B$4*(1+$A19-$B$9)^30</f>
        <v>24061.4271098438</v>
      </c>
      <c r="D19" s="18" t="n">
        <f aca="false">$B$4*(1+$A19-$B$10)^30</f>
        <v>23613.3505709606</v>
      </c>
      <c r="E19" s="18" t="n">
        <f aca="false">$B$4*(1+$A19-$B$11)^30</f>
        <v>23234.2619236791</v>
      </c>
      <c r="F19" s="18" t="n">
        <f aca="false">$B$4*(1+$A19-$B$12)^30</f>
        <v>23031.8055845345</v>
      </c>
      <c r="G19" s="18" t="n">
        <f aca="false">$B$4*(1+$A19-$B$13)^30</f>
        <v>19493.9344052102</v>
      </c>
    </row>
    <row r="20" customFormat="false" ht="15" hidden="false" customHeight="false" outlineLevel="0" collapsed="false">
      <c r="A20" s="20" t="n">
        <v>0.06</v>
      </c>
      <c r="B20" s="18" t="n">
        <f aca="false">$B$4*(1+$A20-$B$8)^30</f>
        <v>57110.6963243743</v>
      </c>
      <c r="C20" s="18" t="n">
        <f aca="false">$B$4*(1+$A20-$B$9)^30</f>
        <v>56949.2527673951</v>
      </c>
      <c r="D20" s="18" t="n">
        <f aca="false">$B$4*(1+$A20-$B$10)^30</f>
        <v>55918.4916813734</v>
      </c>
      <c r="E20" s="18" t="n">
        <f aca="false">$B$4*(1+$A20-$B$11)^30</f>
        <v>55046.0132917319</v>
      </c>
      <c r="F20" s="18" t="n">
        <f aca="false">$B$4*(1+$A20-$B$12)^30</f>
        <v>54579.8975179965</v>
      </c>
      <c r="G20" s="18" t="n">
        <f aca="false">$B$4*(1+$A20-$B$13)^30</f>
        <v>46415.5109100822</v>
      </c>
    </row>
    <row r="21" customFormat="false" ht="15" hidden="false" customHeight="false" outlineLevel="0" collapsed="false">
      <c r="A21" s="20" t="n">
        <v>0.08</v>
      </c>
      <c r="B21" s="18" t="n">
        <f aca="false">$B$4*(1+$A21-$B$8)^30</f>
        <v>100069.030922126</v>
      </c>
      <c r="C21" s="18" t="n">
        <f aca="false">$B$4*(1+$A21-$B$9)^30</f>
        <v>99791.3829220105</v>
      </c>
      <c r="D21" s="18" t="n">
        <f aca="false">$B$4*(1+$A21-$B$10)^30</f>
        <v>98018.3627383565</v>
      </c>
      <c r="E21" s="18" t="n">
        <f aca="false">$B$4*(1+$A21-$B$11)^30</f>
        <v>96517.1486144421</v>
      </c>
      <c r="F21" s="18" t="n">
        <f aca="false">$B$4*(1+$A21-$B$12)^30</f>
        <v>95714.9605719909</v>
      </c>
      <c r="G21" s="18" t="n">
        <f aca="false">$B$4*(1+$A21-$B$13)^30</f>
        <v>81643.0133597185</v>
      </c>
    </row>
    <row r="22" customFormat="false" ht="15" hidden="false" customHeight="false" outlineLevel="0" collapsed="false">
      <c r="A22" s="20" t="n">
        <v>0.1</v>
      </c>
      <c r="B22" s="18" t="n">
        <f aca="false">$B$4*(1+$A22-$B$8)^30</f>
        <v>173544.742110545</v>
      </c>
      <c r="C22" s="18" t="n">
        <f aca="false">$B$4*(1+$A22-$B$9)^30</f>
        <v>173071.975795652</v>
      </c>
      <c r="D22" s="18" t="n">
        <f aca="false">$B$4*(1+$A22-$B$10)^30</f>
        <v>170052.409879888</v>
      </c>
      <c r="E22" s="18" t="n">
        <f aca="false">$B$4*(1+$A22-$B$11)^30</f>
        <v>167494.996348035</v>
      </c>
      <c r="F22" s="18" t="n">
        <f aca="false">$B$4*(1+$A22-$B$12)^30</f>
        <v>166128.131791389</v>
      </c>
      <c r="G22" s="18" t="n">
        <f aca="false">$B$4*(1+$A22-$B$13)^30</f>
        <v>142116.128912762</v>
      </c>
    </row>
    <row r="23" customFormat="false" ht="15" hidden="false" customHeight="false" outlineLevel="0" collapsed="false">
      <c r="A23" s="20" t="n">
        <v>0.12</v>
      </c>
      <c r="B23" s="18" t="n">
        <f aca="false">$B$4*(1+$A23-$B$8)^30</f>
        <v>297998.374255994</v>
      </c>
      <c r="C23" s="18" t="n">
        <f aca="false">$B$4*(1+$A23-$B$9)^30</f>
        <v>297201.054666855</v>
      </c>
      <c r="D23" s="18" t="n">
        <f aca="false">$B$4*(1+$A23-$B$10)^30</f>
        <v>292107.670088478</v>
      </c>
      <c r="E23" s="18" t="n">
        <f aca="false">$B$4*(1+$A23-$B$11)^30</f>
        <v>287792.620034099</v>
      </c>
      <c r="F23" s="18" t="n">
        <f aca="false">$B$4*(1+$A23-$B$12)^30</f>
        <v>285485.883005048</v>
      </c>
      <c r="G23" s="18" t="n">
        <f aca="false">$B$4*(1+$A23-$B$13)^30</f>
        <v>244906.656664387</v>
      </c>
    </row>
  </sheetData>
  <mergeCells count="5">
    <mergeCell ref="A1:G1"/>
    <mergeCell ref="A2:G2"/>
    <mergeCell ref="D4:G5"/>
    <mergeCell ref="A15:G15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16"/>
  </cols>
  <sheetData>
    <row r="1" customFormat="false" ht="17.35" hidden="false" customHeight="false" outlineLevel="0" collapsed="false">
      <c r="A1" s="2" t="s">
        <v>58</v>
      </c>
      <c r="B1" s="2"/>
      <c r="C1" s="2"/>
      <c r="D1" s="2"/>
      <c r="E1" s="2"/>
    </row>
    <row r="3" customFormat="false" ht="15" hidden="false" customHeight="false" outlineLevel="0" collapsed="false">
      <c r="A3" s="4" t="s">
        <v>59</v>
      </c>
    </row>
    <row r="4" customFormat="false" ht="15" hidden="false" customHeight="false" outlineLevel="0" collapsed="false">
      <c r="A4" s="1" t="s">
        <v>60</v>
      </c>
      <c r="B4" s="12" t="n">
        <v>10000</v>
      </c>
    </row>
    <row r="5" customFormat="false" ht="15" hidden="false" customHeight="false" outlineLevel="0" collapsed="false">
      <c r="A5" s="1" t="s">
        <v>61</v>
      </c>
      <c r="B5" s="13" t="n">
        <v>0.013</v>
      </c>
    </row>
    <row r="6" customFormat="false" ht="15" hidden="false" customHeight="false" outlineLevel="0" collapsed="false">
      <c r="A6" s="1" t="s">
        <v>62</v>
      </c>
      <c r="B6" s="13" t="n">
        <v>0.3</v>
      </c>
    </row>
    <row r="7" customFormat="false" ht="15" hidden="false" customHeight="false" outlineLevel="0" collapsed="false">
      <c r="A7" s="1" t="s">
        <v>63</v>
      </c>
      <c r="B7" s="13" t="n">
        <v>0.15</v>
      </c>
    </row>
    <row r="9" customFormat="false" ht="26.85" hidden="false" customHeight="false" outlineLevel="0" collapsed="false">
      <c r="A9" s="14"/>
      <c r="B9" s="14" t="s">
        <v>64</v>
      </c>
      <c r="C9" s="14" t="s">
        <v>65</v>
      </c>
      <c r="D9" s="14" t="s">
        <v>66</v>
      </c>
      <c r="E9" s="14" t="s">
        <v>67</v>
      </c>
    </row>
    <row r="10" customFormat="false" ht="15" hidden="false" customHeight="false" outlineLevel="0" collapsed="false">
      <c r="A10" s="15" t="s">
        <v>68</v>
      </c>
      <c r="B10" s="18" t="n">
        <f aca="false">$B$4*$B$5</f>
        <v>130</v>
      </c>
      <c r="C10" s="21" t="n">
        <f aca="false">$B$6</f>
        <v>0.3</v>
      </c>
      <c r="D10" s="18" t="n">
        <f aca="false">B10*C10</f>
        <v>39</v>
      </c>
      <c r="E10" s="18" t="n">
        <f aca="false">B10-D10</f>
        <v>91</v>
      </c>
    </row>
    <row r="11" customFormat="false" ht="15" hidden="false" customHeight="false" outlineLevel="0" collapsed="false">
      <c r="A11" s="15" t="s">
        <v>69</v>
      </c>
      <c r="B11" s="18" t="n">
        <f aca="false">$B$4*$B$5</f>
        <v>130</v>
      </c>
      <c r="C11" s="21" t="n">
        <f aca="false">$B$7</f>
        <v>0.15</v>
      </c>
      <c r="D11" s="18" t="n">
        <f aca="false">B11*C11</f>
        <v>19.5</v>
      </c>
      <c r="E11" s="18" t="n">
        <f aca="false">B11-D11</f>
        <v>110.5</v>
      </c>
    </row>
    <row r="12" customFormat="false" ht="15" hidden="false" customHeight="false" outlineLevel="0" collapsed="false">
      <c r="A12" s="15" t="s">
        <v>70</v>
      </c>
      <c r="B12" s="22"/>
      <c r="C12" s="22"/>
      <c r="D12" s="18" t="n">
        <f aca="false">D10-D11</f>
        <v>19.5</v>
      </c>
      <c r="E12" s="22"/>
    </row>
    <row r="14" customFormat="false" ht="15" hidden="false" customHeight="false" outlineLevel="0" collapsed="false">
      <c r="A14" s="4" t="s">
        <v>71</v>
      </c>
    </row>
    <row r="15" customFormat="false" ht="26.85" hidden="false" customHeight="false" outlineLevel="0" collapsed="false">
      <c r="A15" s="14" t="s">
        <v>72</v>
      </c>
      <c r="B15" s="14" t="s">
        <v>73</v>
      </c>
      <c r="C15" s="14" t="s">
        <v>74</v>
      </c>
      <c r="D15" s="14" t="s">
        <v>75</v>
      </c>
    </row>
    <row r="16" customFormat="false" ht="15" hidden="false" customHeight="false" outlineLevel="0" collapsed="false">
      <c r="A16" s="23" t="n">
        <v>0</v>
      </c>
      <c r="B16" s="23" t="n">
        <v>10000</v>
      </c>
      <c r="C16" s="23" t="n">
        <v>0</v>
      </c>
      <c r="D16" s="20" t="n">
        <v>0.18</v>
      </c>
    </row>
    <row r="17" customFormat="false" ht="15" hidden="false" customHeight="false" outlineLevel="0" collapsed="false">
      <c r="A17" s="23" t="n">
        <v>10000</v>
      </c>
      <c r="B17" s="23" t="n">
        <v>20000</v>
      </c>
      <c r="C17" s="23" t="n">
        <v>1800</v>
      </c>
      <c r="D17" s="20" t="n">
        <v>0.2</v>
      </c>
    </row>
    <row r="18" customFormat="false" ht="15" hidden="false" customHeight="false" outlineLevel="0" collapsed="false">
      <c r="A18" s="23" t="n">
        <v>20000</v>
      </c>
      <c r="B18" s="23" t="n">
        <v>40000</v>
      </c>
      <c r="C18" s="23" t="n">
        <v>3800</v>
      </c>
      <c r="D18" s="20" t="n">
        <v>0.22</v>
      </c>
    </row>
    <row r="19" customFormat="false" ht="15" hidden="false" customHeight="false" outlineLevel="0" collapsed="false">
      <c r="A19" s="23" t="n">
        <v>40000</v>
      </c>
      <c r="B19" s="23" t="n">
        <v>60000</v>
      </c>
      <c r="C19" s="23" t="n">
        <v>8200</v>
      </c>
      <c r="D19" s="20" t="n">
        <v>0.24</v>
      </c>
    </row>
    <row r="20" customFormat="false" ht="15" hidden="false" customHeight="false" outlineLevel="0" collapsed="false">
      <c r="A20" s="23" t="n">
        <v>60000</v>
      </c>
      <c r="B20" s="23" t="n">
        <v>80000</v>
      </c>
      <c r="C20" s="23" t="n">
        <v>13000</v>
      </c>
      <c r="D20" s="20" t="n">
        <v>0.26</v>
      </c>
    </row>
    <row r="21" customFormat="false" ht="15" hidden="false" customHeight="false" outlineLevel="0" collapsed="false">
      <c r="A21" s="23" t="n">
        <v>80000</v>
      </c>
      <c r="B21" s="23" t="n">
        <v>100000</v>
      </c>
      <c r="C21" s="23" t="n">
        <v>18200</v>
      </c>
      <c r="D21" s="20" t="n">
        <v>0.28</v>
      </c>
    </row>
    <row r="22" customFormat="false" ht="15" hidden="false" customHeight="false" outlineLevel="0" collapsed="false">
      <c r="A22" s="23" t="n">
        <v>100000</v>
      </c>
      <c r="B22" s="23" t="n">
        <v>150000</v>
      </c>
      <c r="C22" s="23" t="n">
        <v>23800</v>
      </c>
      <c r="D22" s="20" t="n">
        <v>0.3</v>
      </c>
    </row>
    <row r="23" customFormat="false" ht="15" hidden="false" customHeight="false" outlineLevel="0" collapsed="false">
      <c r="A23" s="23" t="n">
        <v>150000</v>
      </c>
      <c r="B23" s="23" t="n">
        <v>250000</v>
      </c>
      <c r="C23" s="23" t="n">
        <v>38800</v>
      </c>
      <c r="D23" s="20" t="n">
        <v>0.32</v>
      </c>
    </row>
    <row r="24" customFormat="false" ht="15" hidden="false" customHeight="false" outlineLevel="0" collapsed="false">
      <c r="A24" s="23" t="n">
        <v>250000</v>
      </c>
      <c r="B24" s="23" t="n">
        <v>500000</v>
      </c>
      <c r="C24" s="23" t="n">
        <v>70800</v>
      </c>
      <c r="D24" s="20" t="n">
        <v>0.34</v>
      </c>
    </row>
    <row r="25" customFormat="false" ht="15" hidden="false" customHeight="false" outlineLevel="0" collapsed="false">
      <c r="A25" s="23" t="n">
        <v>500000</v>
      </c>
      <c r="B25" s="23" t="n">
        <v>750000</v>
      </c>
      <c r="C25" s="23" t="n">
        <v>155800</v>
      </c>
      <c r="D25" s="20" t="n">
        <v>0.37</v>
      </c>
    </row>
    <row r="26" customFormat="false" ht="15" hidden="false" customHeight="false" outlineLevel="0" collapsed="false">
      <c r="A26" s="23" t="n">
        <v>750000</v>
      </c>
      <c r="B26" s="23" t="n">
        <v>1000000</v>
      </c>
      <c r="C26" s="23" t="n">
        <v>248300</v>
      </c>
      <c r="D26" s="20" t="n">
        <v>0.39</v>
      </c>
    </row>
    <row r="27" customFormat="false" ht="15" hidden="false" customHeight="false" outlineLevel="0" collapsed="false">
      <c r="A27" s="23" t="n">
        <v>1000000</v>
      </c>
      <c r="B27" s="23" t="n">
        <v>100000000</v>
      </c>
      <c r="C27" s="23" t="n">
        <v>345800</v>
      </c>
      <c r="D27" s="20" t="n">
        <v>0.4</v>
      </c>
    </row>
    <row r="29" customFormat="false" ht="15" hidden="false" customHeight="true" outlineLevel="0" collapsed="false">
      <c r="A29" s="1" t="s">
        <v>76</v>
      </c>
      <c r="B29" s="12" t="n">
        <v>13000</v>
      </c>
      <c r="D29" s="10" t="s">
        <v>77</v>
      </c>
      <c r="E29" s="10"/>
    </row>
    <row r="30" customFormat="false" ht="15" hidden="false" customHeight="false" outlineLevel="0" collapsed="false">
      <c r="A30" s="1" t="s">
        <v>78</v>
      </c>
      <c r="B30" s="24" t="n">
        <v>150000</v>
      </c>
      <c r="D30" s="10"/>
      <c r="E30" s="10"/>
    </row>
    <row r="31" customFormat="false" ht="15" hidden="false" customHeight="false" outlineLevel="0" collapsed="false">
      <c r="D31" s="10"/>
      <c r="E31" s="10"/>
    </row>
    <row r="32" customFormat="false" ht="15" hidden="false" customHeight="false" outlineLevel="0" collapsed="false">
      <c r="A32" s="1" t="s">
        <v>79</v>
      </c>
      <c r="B32" s="11" t="n">
        <f aca="false">MATCH(B30,A16:A27)</f>
        <v>8</v>
      </c>
      <c r="D32" s="10"/>
      <c r="E32" s="10"/>
    </row>
    <row r="33" customFormat="false" ht="15" hidden="false" customHeight="false" outlineLevel="0" collapsed="false">
      <c r="A33" s="1" t="s">
        <v>80</v>
      </c>
      <c r="B33" s="25" t="n">
        <f aca="false">INDEX(C16:C27,B32)</f>
        <v>38800</v>
      </c>
      <c r="D33" s="10"/>
      <c r="E33" s="10"/>
    </row>
    <row r="34" customFormat="false" ht="15" hidden="false" customHeight="false" outlineLevel="0" collapsed="false">
      <c r="A34" s="1" t="s">
        <v>81</v>
      </c>
      <c r="B34" s="26" t="n">
        <f aca="false">INDEX(D16:D27,B32)</f>
        <v>0.32</v>
      </c>
    </row>
    <row r="35" customFormat="false" ht="15" hidden="false" customHeight="false" outlineLevel="0" collapsed="false">
      <c r="A35" s="1" t="s">
        <v>82</v>
      </c>
      <c r="B35" s="27" t="n">
        <f aca="false">INDEX(A16:A27,B32)</f>
        <v>150000</v>
      </c>
    </row>
    <row r="36" customFormat="false" ht="15" hidden="false" customHeight="false" outlineLevel="0" collapsed="false">
      <c r="A36" s="1" t="s">
        <v>83</v>
      </c>
      <c r="B36" s="28" t="n">
        <f aca="false">B33+B34*(B30-B35)</f>
        <v>38800</v>
      </c>
    </row>
    <row r="37" customFormat="false" ht="15" hidden="false" customHeight="false" outlineLevel="0" collapsed="false">
      <c r="A37" s="1" t="s">
        <v>84</v>
      </c>
      <c r="B37" s="25" t="n">
        <f aca="false">$B$29</f>
        <v>13000</v>
      </c>
    </row>
    <row r="38" customFormat="false" ht="15" hidden="false" customHeight="false" outlineLevel="0" collapsed="false">
      <c r="A38" s="1" t="s">
        <v>85</v>
      </c>
      <c r="B38" s="28" t="n">
        <f aca="false">MAX(0,B36-B37)</f>
        <v>25800</v>
      </c>
    </row>
    <row r="39" customFormat="false" ht="15" hidden="false" customHeight="false" outlineLevel="0" collapsed="false">
      <c r="A39" s="1" t="s">
        <v>86</v>
      </c>
      <c r="B39" s="11" t="str">
        <f aca="false">IF(B30&gt;=60000,"Yes","No")</f>
        <v>Yes</v>
      </c>
    </row>
  </sheetData>
  <mergeCells count="2">
    <mergeCell ref="A1:E1"/>
    <mergeCell ref="D29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4"/>
    <col collapsed="false" customWidth="true" hidden="false" outlineLevel="0" max="4" min="4" style="1" width="16"/>
    <col collapsed="false" customWidth="true" hidden="false" outlineLevel="0" max="5" min="5" style="1" width="18"/>
  </cols>
  <sheetData>
    <row r="1" customFormat="false" ht="17.35" hidden="false" customHeight="false" outlineLevel="0" collapsed="false">
      <c r="A1" s="2" t="s">
        <v>87</v>
      </c>
      <c r="B1" s="2"/>
      <c r="C1" s="2"/>
      <c r="D1" s="2"/>
      <c r="E1" s="2"/>
    </row>
    <row r="3" customFormat="false" ht="15" hidden="false" customHeight="false" outlineLevel="0" collapsed="false">
      <c r="A3" s="22" t="s">
        <v>88</v>
      </c>
      <c r="B3" s="20" t="n">
        <v>0.7</v>
      </c>
    </row>
    <row r="4" customFormat="false" ht="15" hidden="false" customHeight="false" outlineLevel="0" collapsed="false">
      <c r="A4" s="22" t="s">
        <v>89</v>
      </c>
      <c r="B4" s="21" t="n">
        <f aca="false">1-B3</f>
        <v>0.3</v>
      </c>
    </row>
    <row r="5" customFormat="false" ht="15" hidden="false" customHeight="false" outlineLevel="0" collapsed="false">
      <c r="A5" s="22" t="s">
        <v>90</v>
      </c>
      <c r="B5" s="20" t="n">
        <v>0.16</v>
      </c>
    </row>
    <row r="6" customFormat="false" ht="15" hidden="false" customHeight="false" outlineLevel="0" collapsed="false">
      <c r="A6" s="22" t="s">
        <v>91</v>
      </c>
      <c r="B6" s="20" t="n">
        <v>0.06</v>
      </c>
    </row>
    <row r="7" customFormat="false" ht="15" hidden="false" customHeight="false" outlineLevel="0" collapsed="false">
      <c r="A7" s="22" t="s">
        <v>92</v>
      </c>
      <c r="B7" s="20" t="n">
        <v>0.1</v>
      </c>
    </row>
    <row r="8" customFormat="false" ht="15" hidden="false" customHeight="false" outlineLevel="0" collapsed="false">
      <c r="A8" s="22"/>
      <c r="B8" s="22"/>
    </row>
    <row r="9" customFormat="false" ht="15" hidden="false" customHeight="false" outlineLevel="0" collapsed="false">
      <c r="A9" s="22" t="s">
        <v>93</v>
      </c>
      <c r="B9" s="29" t="n">
        <f aca="false">B3^2*B5^2+B4^2*B6^2+2*B3*B4*B7*B5*B6</f>
        <v>0.0132712</v>
      </c>
    </row>
    <row r="10" customFormat="false" ht="15" hidden="false" customHeight="false" outlineLevel="0" collapsed="false">
      <c r="A10" s="22" t="s">
        <v>94</v>
      </c>
      <c r="B10" s="30" t="n">
        <f aca="false">SQRT(B9)</f>
        <v>0.115200694442351</v>
      </c>
    </row>
    <row r="11" customFormat="false" ht="15" hidden="false" customHeight="false" outlineLevel="0" collapsed="false">
      <c r="A11" s="22" t="s">
        <v>95</v>
      </c>
      <c r="B11" s="31" t="n">
        <f aca="false">B3*B5+B4*B6</f>
        <v>0.13</v>
      </c>
    </row>
    <row r="12" customFormat="false" ht="15" hidden="false" customHeight="false" outlineLevel="0" collapsed="false">
      <c r="A12" s="22" t="s">
        <v>96</v>
      </c>
      <c r="B12" s="30" t="n">
        <f aca="false">B11-B10</f>
        <v>0.0147993055576487</v>
      </c>
    </row>
    <row r="15" customFormat="false" ht="15" hidden="false" customHeight="false" outlineLevel="0" collapsed="false">
      <c r="A15" s="19" t="s">
        <v>97</v>
      </c>
      <c r="B15" s="19"/>
      <c r="C15" s="19"/>
      <c r="D15" s="19"/>
      <c r="E15" s="19"/>
    </row>
    <row r="16" customFormat="false" ht="26.85" hidden="false" customHeight="false" outlineLevel="0" collapsed="false">
      <c r="A16" s="14" t="s">
        <v>92</v>
      </c>
      <c r="B16" s="14" t="s">
        <v>98</v>
      </c>
      <c r="C16" s="14" t="s">
        <v>99</v>
      </c>
      <c r="D16" s="14" t="s">
        <v>96</v>
      </c>
      <c r="E16" s="14"/>
    </row>
    <row r="17" customFormat="false" ht="15" hidden="false" customHeight="false" outlineLevel="0" collapsed="false">
      <c r="A17" s="20" t="n">
        <v>-0.3</v>
      </c>
      <c r="B17" s="31" t="n">
        <f aca="false">SQRT($B$3^2*$B$5^2+$B$4^2*$B$6^2+2*$B$3*$B$4*A17*$B$5*$B$6)</f>
        <v>0.107974070961504</v>
      </c>
      <c r="C17" s="31" t="n">
        <f aca="false">$B$11</f>
        <v>0.13</v>
      </c>
      <c r="D17" s="31" t="n">
        <f aca="false">C17-B17</f>
        <v>0.0220259290384956</v>
      </c>
    </row>
    <row r="18" customFormat="false" ht="15" hidden="false" customHeight="false" outlineLevel="0" collapsed="false">
      <c r="A18" s="20" t="n">
        <v>-0.1</v>
      </c>
      <c r="B18" s="31" t="n">
        <f aca="false">SQRT($B$3^2*$B$5^2+$B$4^2*$B$6^2+2*$B$3*$B$4*A18*$B$5*$B$6)</f>
        <v>0.111645868709953</v>
      </c>
      <c r="C18" s="31" t="n">
        <f aca="false">$B$11</f>
        <v>0.13</v>
      </c>
      <c r="D18" s="31" t="n">
        <f aca="false">C18-B18</f>
        <v>0.0183541312900473</v>
      </c>
    </row>
    <row r="19" customFormat="false" ht="15" hidden="false" customHeight="false" outlineLevel="0" collapsed="false">
      <c r="A19" s="20" t="n">
        <v>0</v>
      </c>
      <c r="B19" s="31" t="n">
        <f aca="false">SQRT($B$3^2*$B$5^2+$B$4^2*$B$6^2+2*$B$3*$B$4*A19*$B$5*$B$6)</f>
        <v>0.113437207299898</v>
      </c>
      <c r="C19" s="31" t="n">
        <f aca="false">$B$11</f>
        <v>0.13</v>
      </c>
      <c r="D19" s="31" t="n">
        <f aca="false">C19-B19</f>
        <v>0.0165627927001022</v>
      </c>
    </row>
    <row r="20" customFormat="false" ht="15" hidden="false" customHeight="false" outlineLevel="0" collapsed="false">
      <c r="A20" s="20" t="n">
        <v>0.1</v>
      </c>
      <c r="B20" s="31" t="n">
        <f aca="false">SQRT($B$3^2*$B$5^2+$B$4^2*$B$6^2+2*$B$3*$B$4*A20*$B$5*$B$6)</f>
        <v>0.115200694442351</v>
      </c>
      <c r="C20" s="31" t="n">
        <f aca="false">$B$11</f>
        <v>0.13</v>
      </c>
      <c r="D20" s="31" t="n">
        <f aca="false">C20-B20</f>
        <v>0.0147993055576487</v>
      </c>
    </row>
    <row r="21" customFormat="false" ht="15" hidden="false" customHeight="false" outlineLevel="0" collapsed="false">
      <c r="A21" s="20" t="n">
        <v>0.3</v>
      </c>
      <c r="B21" s="31" t="n">
        <f aca="false">SQRT($B$3^2*$B$5^2+$B$4^2*$B$6^2+2*$B$3*$B$4*A21*$B$5*$B$6)</f>
        <v>0.118649062364605</v>
      </c>
      <c r="C21" s="31" t="n">
        <f aca="false">$B$11</f>
        <v>0.13</v>
      </c>
      <c r="D21" s="31" t="n">
        <f aca="false">C21-B21</f>
        <v>0.0113509376353947</v>
      </c>
    </row>
    <row r="22" customFormat="false" ht="15" hidden="false" customHeight="false" outlineLevel="0" collapsed="false">
      <c r="A22" s="20" t="n">
        <v>0.5</v>
      </c>
      <c r="B22" s="31" t="n">
        <f aca="false">SQRT($B$3^2*$B$5^2+$B$4^2*$B$6^2+2*$B$3*$B$4*A22*$B$5*$B$6)</f>
        <v>0.122</v>
      </c>
      <c r="C22" s="31" t="n">
        <f aca="false">$B$11</f>
        <v>0.13</v>
      </c>
      <c r="D22" s="31" t="n">
        <f aca="false">C22-B22</f>
        <v>0.00800000000000001</v>
      </c>
    </row>
    <row r="23" customFormat="false" ht="15" hidden="false" customHeight="false" outlineLevel="0" collapsed="false">
      <c r="A23" s="20" t="n">
        <v>1</v>
      </c>
      <c r="B23" s="31" t="n">
        <f aca="false">SQRT($B$3^2*$B$5^2+$B$4^2*$B$6^2+2*$B$3*$B$4*A23*$B$5*$B$6)</f>
        <v>0.13</v>
      </c>
      <c r="C23" s="31" t="n">
        <f aca="false">$B$11</f>
        <v>0.13</v>
      </c>
      <c r="D23" s="31" t="n">
        <f aca="false">C23-B23</f>
        <v>0</v>
      </c>
    </row>
    <row r="26" customFormat="false" ht="15" hidden="false" customHeight="false" outlineLevel="0" collapsed="false">
      <c r="A26" s="19" t="s">
        <v>100</v>
      </c>
      <c r="B26" s="19"/>
      <c r="C26" s="19"/>
      <c r="D26" s="19"/>
      <c r="E26" s="19"/>
    </row>
    <row r="27" customFormat="false" ht="15" hidden="false" customHeight="false" outlineLevel="0" collapsed="false">
      <c r="A27" s="14" t="s">
        <v>101</v>
      </c>
      <c r="B27" s="14" t="s">
        <v>102</v>
      </c>
      <c r="C27" s="14" t="s">
        <v>103</v>
      </c>
      <c r="D27" s="14"/>
      <c r="E27" s="14"/>
    </row>
    <row r="28" customFormat="false" ht="15" hidden="false" customHeight="false" outlineLevel="0" collapsed="false">
      <c r="A28" s="15" t="s">
        <v>104</v>
      </c>
      <c r="B28" s="20" t="n">
        <v>0.55</v>
      </c>
      <c r="C28" s="20" t="n">
        <v>0.16</v>
      </c>
    </row>
    <row r="29" customFormat="false" ht="15" hidden="false" customHeight="false" outlineLevel="0" collapsed="false">
      <c r="A29" s="15" t="s">
        <v>105</v>
      </c>
      <c r="B29" s="20" t="n">
        <v>0.15</v>
      </c>
      <c r="C29" s="20" t="n">
        <v>0.06</v>
      </c>
    </row>
    <row r="30" customFormat="false" ht="15" hidden="false" customHeight="false" outlineLevel="0" collapsed="false">
      <c r="A30" s="15" t="s">
        <v>106</v>
      </c>
      <c r="B30" s="20" t="n">
        <v>0.3</v>
      </c>
      <c r="C30" s="20" t="n">
        <v>0.28</v>
      </c>
    </row>
    <row r="31" customFormat="false" ht="15" hidden="false" customHeight="false" outlineLevel="0" collapsed="false">
      <c r="A31" s="11" t="s">
        <v>107</v>
      </c>
      <c r="B31" s="13" t="n">
        <v>0.1</v>
      </c>
    </row>
    <row r="32" customFormat="false" ht="15" hidden="false" customHeight="false" outlineLevel="0" collapsed="false">
      <c r="A32" s="11" t="s">
        <v>108</v>
      </c>
      <c r="B32" s="13" t="n">
        <v>0.75</v>
      </c>
    </row>
    <row r="33" customFormat="false" ht="15" hidden="false" customHeight="false" outlineLevel="0" collapsed="false">
      <c r="A33" s="11" t="s">
        <v>109</v>
      </c>
      <c r="B33" s="13" t="n">
        <v>0.05</v>
      </c>
    </row>
    <row r="35" customFormat="false" ht="15" hidden="false" customHeight="false" outlineLevel="0" collapsed="false">
      <c r="A35" s="11" t="s">
        <v>110</v>
      </c>
      <c r="B35" s="32" t="n">
        <f aca="false">B28^2*C28^2+B29^2*C29^2+B30^2*C30^2+2*B28*B29*B31*C28*C29+2*B28*B30*B32*C28*C30+2*B29*B30*B33*C29*C30</f>
        <v>0.026203</v>
      </c>
    </row>
    <row r="36" customFormat="false" ht="15" hidden="false" customHeight="false" outlineLevel="0" collapsed="false">
      <c r="A36" s="4" t="s">
        <v>111</v>
      </c>
      <c r="B36" s="33" t="n">
        <f aca="false">SQRT(B35)</f>
        <v>0.161873407328072</v>
      </c>
    </row>
    <row r="37" customFormat="false" ht="15" hidden="false" customHeight="false" outlineLevel="0" collapsed="false">
      <c r="A37" s="11" t="s">
        <v>99</v>
      </c>
      <c r="B37" s="34" t="n">
        <f aca="false">B28*C28+B29*C29+B30*C30</f>
        <v>0.181</v>
      </c>
    </row>
    <row r="38" customFormat="false" ht="15" hidden="false" customHeight="false" outlineLevel="0" collapsed="false">
      <c r="A38" s="4" t="s">
        <v>96</v>
      </c>
      <c r="B38" s="33" t="n">
        <f aca="false">B37-B36</f>
        <v>0.0191265926719277</v>
      </c>
    </row>
  </sheetData>
  <mergeCells count="3">
    <mergeCell ref="A1:E1"/>
    <mergeCell ref="A15:E15"/>
    <mergeCell ref="A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12"/>
    <col collapsed="false" customWidth="true" hidden="false" outlineLevel="0" max="4" min="4" style="1" width="14"/>
    <col collapsed="false" customWidth="true" hidden="false" outlineLevel="0" max="5" min="5" style="1" width="20"/>
  </cols>
  <sheetData>
    <row r="1" customFormat="false" ht="17.35" hidden="false" customHeight="false" outlineLevel="0" collapsed="false">
      <c r="A1" s="2" t="s">
        <v>112</v>
      </c>
      <c r="B1" s="2"/>
      <c r="C1" s="2"/>
      <c r="D1" s="2"/>
      <c r="E1" s="2"/>
    </row>
    <row r="3" customFormat="false" ht="15" hidden="false" customHeight="false" outlineLevel="0" collapsed="false">
      <c r="A3" s="1" t="s">
        <v>113</v>
      </c>
      <c r="B3" s="12" t="n">
        <v>50000</v>
      </c>
    </row>
    <row r="5" customFormat="false" ht="39.55" hidden="false" customHeight="false" outlineLevel="0" collapsed="false">
      <c r="A5" s="14" t="s">
        <v>114</v>
      </c>
      <c r="B5" s="14" t="s">
        <v>102</v>
      </c>
      <c r="C5" s="14" t="s">
        <v>43</v>
      </c>
      <c r="D5" s="14" t="s">
        <v>115</v>
      </c>
      <c r="E5" s="14" t="s">
        <v>116</v>
      </c>
    </row>
    <row r="6" customFormat="false" ht="15" hidden="false" customHeight="false" outlineLevel="0" collapsed="false">
      <c r="A6" s="15" t="s">
        <v>117</v>
      </c>
      <c r="B6" s="20" t="n">
        <v>0.55</v>
      </c>
      <c r="C6" s="16" t="n">
        <v>0.0002</v>
      </c>
      <c r="D6" s="18" t="n">
        <f aca="false">$B$3*B6</f>
        <v>27500</v>
      </c>
      <c r="E6" s="17" t="n">
        <f aca="false">B6*C6</f>
        <v>0.00011</v>
      </c>
    </row>
    <row r="7" customFormat="false" ht="15" hidden="false" customHeight="false" outlineLevel="0" collapsed="false">
      <c r="A7" s="15" t="s">
        <v>118</v>
      </c>
      <c r="B7" s="20" t="n">
        <v>0.15</v>
      </c>
      <c r="C7" s="16" t="n">
        <v>0.0003</v>
      </c>
      <c r="D7" s="18" t="n">
        <f aca="false">$B$3*B7</f>
        <v>7500</v>
      </c>
      <c r="E7" s="17" t="n">
        <f aca="false">B7*C7</f>
        <v>4.5E-005</v>
      </c>
    </row>
    <row r="8" customFormat="false" ht="15" hidden="false" customHeight="false" outlineLevel="0" collapsed="false">
      <c r="A8" s="15" t="s">
        <v>119</v>
      </c>
      <c r="B8" s="20" t="n">
        <v>0.15</v>
      </c>
      <c r="C8" s="16" t="n">
        <v>0.0015</v>
      </c>
      <c r="D8" s="18" t="n">
        <f aca="false">$B$3*B8</f>
        <v>7500</v>
      </c>
      <c r="E8" s="17" t="n">
        <f aca="false">B8*C8</f>
        <v>0.000225</v>
      </c>
    </row>
    <row r="9" customFormat="false" ht="15" hidden="false" customHeight="false" outlineLevel="0" collapsed="false">
      <c r="A9" s="15" t="s">
        <v>120</v>
      </c>
      <c r="B9" s="20" t="n">
        <v>0.075</v>
      </c>
      <c r="C9" s="16" t="n">
        <v>0.0006</v>
      </c>
      <c r="D9" s="18" t="n">
        <f aca="false">$B$3*B9</f>
        <v>3750</v>
      </c>
      <c r="E9" s="17" t="n">
        <f aca="false">B9*C9</f>
        <v>4.5E-005</v>
      </c>
    </row>
    <row r="10" customFormat="false" ht="15" hidden="false" customHeight="false" outlineLevel="0" collapsed="false">
      <c r="A10" s="15" t="s">
        <v>121</v>
      </c>
      <c r="B10" s="20" t="n">
        <v>0.075</v>
      </c>
      <c r="C10" s="16" t="n">
        <v>0.0033</v>
      </c>
      <c r="D10" s="18" t="n">
        <f aca="false">$B$3*B10</f>
        <v>3750</v>
      </c>
      <c r="E10" s="17" t="n">
        <f aca="false">B10*C10</f>
        <v>0.0002475</v>
      </c>
    </row>
    <row r="11" customFormat="false" ht="15" hidden="false" customHeight="false" outlineLevel="0" collapsed="false">
      <c r="A11" s="35" t="s">
        <v>122</v>
      </c>
      <c r="B11" s="36" t="n">
        <f aca="false">SUM(B6:B10)</f>
        <v>1</v>
      </c>
      <c r="C11" s="22"/>
      <c r="D11" s="37" t="n">
        <f aca="false">SUM(D6:D10)</f>
        <v>50000</v>
      </c>
      <c r="E11" s="38" t="n">
        <f aca="false">SUM(E6:E10)</f>
        <v>0.0006725</v>
      </c>
    </row>
    <row r="13" customFormat="false" ht="15" hidden="false" customHeight="false" outlineLevel="0" collapsed="false">
      <c r="A13" s="11" t="s">
        <v>123</v>
      </c>
      <c r="B13" s="28" t="n">
        <f aca="false">$B$3*E11</f>
        <v>33.625</v>
      </c>
    </row>
    <row r="15" customFormat="false" ht="15" hidden="false" customHeight="false" outlineLevel="0" collapsed="false">
      <c r="A15" s="19" t="s">
        <v>124</v>
      </c>
      <c r="B15" s="19"/>
      <c r="C15" s="19"/>
      <c r="D15" s="19"/>
      <c r="E15" s="19"/>
    </row>
    <row r="16" customFormat="false" ht="39.55" hidden="false" customHeight="false" outlineLevel="0" collapsed="false">
      <c r="A16" s="14" t="s">
        <v>114</v>
      </c>
      <c r="B16" s="14" t="s">
        <v>125</v>
      </c>
      <c r="C16" s="14" t="s">
        <v>126</v>
      </c>
      <c r="D16" s="14"/>
      <c r="E16" s="14"/>
    </row>
    <row r="17" customFormat="false" ht="15" hidden="false" customHeight="false" outlineLevel="0" collapsed="false">
      <c r="A17" s="15" t="s">
        <v>117</v>
      </c>
      <c r="B17" s="20" t="n">
        <v>0.35</v>
      </c>
      <c r="C17" s="20" t="n">
        <v>0.55</v>
      </c>
    </row>
    <row r="18" customFormat="false" ht="15" hidden="false" customHeight="false" outlineLevel="0" collapsed="false">
      <c r="A18" s="15" t="s">
        <v>127</v>
      </c>
      <c r="B18" s="20" t="n">
        <v>0.45</v>
      </c>
      <c r="C18" s="20" t="n">
        <v>0.05</v>
      </c>
    </row>
    <row r="19" customFormat="false" ht="15" hidden="false" customHeight="false" outlineLevel="0" collapsed="false">
      <c r="A19" s="15" t="s">
        <v>128</v>
      </c>
      <c r="B19" s="20" t="n">
        <v>0.05</v>
      </c>
      <c r="C19" s="20" t="n">
        <v>0.2</v>
      </c>
    </row>
    <row r="20" customFormat="false" ht="15" hidden="false" customHeight="false" outlineLevel="0" collapsed="false">
      <c r="A20" s="15" t="s">
        <v>129</v>
      </c>
      <c r="B20" s="20" t="n">
        <v>0.1</v>
      </c>
      <c r="C20" s="20" t="n">
        <v>0.05</v>
      </c>
    </row>
    <row r="21" customFormat="false" ht="15" hidden="false" customHeight="false" outlineLevel="0" collapsed="false">
      <c r="A21" s="15" t="s">
        <v>130</v>
      </c>
      <c r="B21" s="20" t="n">
        <v>0.05</v>
      </c>
      <c r="C21" s="20" t="n">
        <v>0.15</v>
      </c>
    </row>
    <row r="22" customFormat="false" ht="15" hidden="false" customHeight="false" outlineLevel="0" collapsed="false">
      <c r="A22" s="4" t="s">
        <v>131</v>
      </c>
      <c r="B22" s="39" t="n">
        <f aca="false">B17*C6+B18*C7+B19*C8+B20*C9+B21*C10</f>
        <v>0.000505</v>
      </c>
      <c r="C22" s="39" t="n">
        <f aca="false">C17*C6+C18*C7+C19*C8+C20*C9+C21*C10</f>
        <v>0.00095</v>
      </c>
    </row>
  </sheetData>
  <mergeCells count="2">
    <mergeCell ref="A1:E1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4" min="4" style="1" width="14"/>
  </cols>
  <sheetData>
    <row r="1" customFormat="false" ht="17.35" hidden="false" customHeight="false" outlineLevel="0" collapsed="false">
      <c r="A1" s="2" t="s">
        <v>132</v>
      </c>
      <c r="B1" s="2"/>
      <c r="C1" s="2"/>
      <c r="D1" s="2"/>
    </row>
    <row r="2" customFormat="false" ht="22.35" hidden="false" customHeight="true" outlineLevel="0" collapsed="false">
      <c r="A2" s="10" t="s">
        <v>133</v>
      </c>
      <c r="B2" s="10"/>
      <c r="C2" s="10"/>
      <c r="D2" s="10"/>
    </row>
    <row r="4" customFormat="false" ht="15" hidden="false" customHeight="true" outlineLevel="0" collapsed="false">
      <c r="A4" s="14" t="s">
        <v>134</v>
      </c>
      <c r="B4" s="14" t="s">
        <v>102</v>
      </c>
      <c r="C4" s="14"/>
      <c r="D4" s="40" t="s">
        <v>135</v>
      </c>
    </row>
    <row r="5" customFormat="false" ht="15" hidden="false" customHeight="false" outlineLevel="0" collapsed="false">
      <c r="A5" s="15" t="n">
        <v>1</v>
      </c>
      <c r="B5" s="16" t="n">
        <v>0.033333</v>
      </c>
      <c r="D5" s="40"/>
    </row>
    <row r="6" customFormat="false" ht="15" hidden="false" customHeight="false" outlineLevel="0" collapsed="false">
      <c r="A6" s="15" t="n">
        <v>2</v>
      </c>
      <c r="B6" s="16" t="n">
        <v>0.033333</v>
      </c>
      <c r="D6" s="40"/>
    </row>
    <row r="7" customFormat="false" ht="15" hidden="false" customHeight="false" outlineLevel="0" collapsed="false">
      <c r="A7" s="15" t="n">
        <v>3</v>
      </c>
      <c r="B7" s="16" t="n">
        <v>0.033333</v>
      </c>
      <c r="D7" s="40"/>
    </row>
    <row r="8" customFormat="false" ht="15" hidden="false" customHeight="false" outlineLevel="0" collapsed="false">
      <c r="A8" s="15" t="n">
        <v>4</v>
      </c>
      <c r="B8" s="16" t="n">
        <v>0.033333</v>
      </c>
      <c r="D8" s="40"/>
    </row>
    <row r="9" customFormat="false" ht="15" hidden="false" customHeight="false" outlineLevel="0" collapsed="false">
      <c r="A9" s="15" t="n">
        <v>5</v>
      </c>
      <c r="B9" s="16" t="n">
        <v>0.033333</v>
      </c>
      <c r="D9" s="40"/>
    </row>
    <row r="10" customFormat="false" ht="15" hidden="false" customHeight="false" outlineLevel="0" collapsed="false">
      <c r="A10" s="15" t="n">
        <v>6</v>
      </c>
      <c r="B10" s="16" t="n">
        <v>0.033333</v>
      </c>
      <c r="D10" s="40"/>
    </row>
    <row r="11" customFormat="false" ht="15" hidden="false" customHeight="false" outlineLevel="0" collapsed="false">
      <c r="A11" s="15" t="n">
        <v>7</v>
      </c>
      <c r="B11" s="16" t="n">
        <v>0.033333</v>
      </c>
    </row>
    <row r="12" customFormat="false" ht="15" hidden="false" customHeight="false" outlineLevel="0" collapsed="false">
      <c r="A12" s="15" t="n">
        <v>8</v>
      </c>
      <c r="B12" s="16" t="n">
        <v>0.033333</v>
      </c>
    </row>
    <row r="13" customFormat="false" ht="15" hidden="false" customHeight="false" outlineLevel="0" collapsed="false">
      <c r="A13" s="15" t="n">
        <v>9</v>
      </c>
      <c r="B13" s="16" t="n">
        <v>0.033333</v>
      </c>
    </row>
    <row r="14" customFormat="false" ht="15" hidden="false" customHeight="false" outlineLevel="0" collapsed="false">
      <c r="A14" s="15" t="n">
        <v>10</v>
      </c>
      <c r="B14" s="16" t="n">
        <v>0.033333</v>
      </c>
    </row>
    <row r="15" customFormat="false" ht="15" hidden="false" customHeight="false" outlineLevel="0" collapsed="false">
      <c r="A15" s="15" t="n">
        <v>11</v>
      </c>
      <c r="B15" s="16" t="n">
        <v>0.033333</v>
      </c>
    </row>
    <row r="16" customFormat="false" ht="15" hidden="false" customHeight="false" outlineLevel="0" collapsed="false">
      <c r="A16" s="15" t="n">
        <v>12</v>
      </c>
      <c r="B16" s="16" t="n">
        <v>0.033333</v>
      </c>
    </row>
    <row r="17" customFormat="false" ht="15" hidden="false" customHeight="false" outlineLevel="0" collapsed="false">
      <c r="A17" s="15" t="n">
        <v>13</v>
      </c>
      <c r="B17" s="16" t="n">
        <v>0.033333</v>
      </c>
    </row>
    <row r="18" customFormat="false" ht="15" hidden="false" customHeight="false" outlineLevel="0" collapsed="false">
      <c r="A18" s="15" t="n">
        <v>14</v>
      </c>
      <c r="B18" s="16" t="n">
        <v>0.033333</v>
      </c>
    </row>
    <row r="19" customFormat="false" ht="15" hidden="false" customHeight="false" outlineLevel="0" collapsed="false">
      <c r="A19" s="15" t="n">
        <v>15</v>
      </c>
      <c r="B19" s="16" t="n">
        <v>0.033333</v>
      </c>
    </row>
    <row r="20" customFormat="false" ht="15" hidden="false" customHeight="false" outlineLevel="0" collapsed="false">
      <c r="A20" s="15" t="n">
        <v>16</v>
      </c>
      <c r="B20" s="16" t="n">
        <v>0.033333</v>
      </c>
    </row>
    <row r="21" customFormat="false" ht="15" hidden="false" customHeight="false" outlineLevel="0" collapsed="false">
      <c r="A21" s="15" t="n">
        <v>17</v>
      </c>
      <c r="B21" s="16" t="n">
        <v>0.033333</v>
      </c>
    </row>
    <row r="22" customFormat="false" ht="15" hidden="false" customHeight="false" outlineLevel="0" collapsed="false">
      <c r="A22" s="15" t="n">
        <v>18</v>
      </c>
      <c r="B22" s="16" t="n">
        <v>0.033333</v>
      </c>
    </row>
    <row r="23" customFormat="false" ht="15" hidden="false" customHeight="false" outlineLevel="0" collapsed="false">
      <c r="A23" s="15" t="n">
        <v>19</v>
      </c>
      <c r="B23" s="16" t="n">
        <v>0.033333</v>
      </c>
    </row>
    <row r="24" customFormat="false" ht="15" hidden="false" customHeight="false" outlineLevel="0" collapsed="false">
      <c r="A24" s="15" t="n">
        <v>20</v>
      </c>
      <c r="B24" s="16" t="n">
        <v>0.033333</v>
      </c>
    </row>
    <row r="25" customFormat="false" ht="15" hidden="false" customHeight="false" outlineLevel="0" collapsed="false">
      <c r="A25" s="15" t="n">
        <v>21</v>
      </c>
      <c r="B25" s="16" t="n">
        <v>0.033333</v>
      </c>
    </row>
    <row r="26" customFormat="false" ht="15" hidden="false" customHeight="false" outlineLevel="0" collapsed="false">
      <c r="A26" s="15" t="n">
        <v>22</v>
      </c>
      <c r="B26" s="16" t="n">
        <v>0.033333</v>
      </c>
    </row>
    <row r="27" customFormat="false" ht="15" hidden="false" customHeight="false" outlineLevel="0" collapsed="false">
      <c r="A27" s="15" t="n">
        <v>23</v>
      </c>
      <c r="B27" s="16" t="n">
        <v>0.033333</v>
      </c>
    </row>
    <row r="28" customFormat="false" ht="15" hidden="false" customHeight="false" outlineLevel="0" collapsed="false">
      <c r="A28" s="15" t="n">
        <v>24</v>
      </c>
      <c r="B28" s="16" t="n">
        <v>0.033333</v>
      </c>
    </row>
    <row r="29" customFormat="false" ht="15" hidden="false" customHeight="false" outlineLevel="0" collapsed="false">
      <c r="A29" s="15" t="n">
        <v>25</v>
      </c>
      <c r="B29" s="16" t="n">
        <v>0.033333</v>
      </c>
    </row>
    <row r="30" customFormat="false" ht="15" hidden="false" customHeight="false" outlineLevel="0" collapsed="false">
      <c r="A30" s="15" t="n">
        <v>26</v>
      </c>
      <c r="B30" s="16" t="n">
        <v>0.033333</v>
      </c>
    </row>
    <row r="31" customFormat="false" ht="15" hidden="false" customHeight="false" outlineLevel="0" collapsed="false">
      <c r="A31" s="15" t="n">
        <v>27</v>
      </c>
      <c r="B31" s="16" t="n">
        <v>0.033333</v>
      </c>
    </row>
    <row r="32" customFormat="false" ht="15" hidden="false" customHeight="false" outlineLevel="0" collapsed="false">
      <c r="A32" s="15" t="n">
        <v>28</v>
      </c>
      <c r="B32" s="16" t="n">
        <v>0.033333</v>
      </c>
    </row>
    <row r="33" customFormat="false" ht="15" hidden="false" customHeight="false" outlineLevel="0" collapsed="false">
      <c r="A33" s="15" t="n">
        <v>29</v>
      </c>
      <c r="B33" s="16" t="n">
        <v>0.033333</v>
      </c>
    </row>
    <row r="34" customFormat="false" ht="15" hidden="false" customHeight="false" outlineLevel="0" collapsed="false">
      <c r="A34" s="15" t="n">
        <v>30</v>
      </c>
      <c r="B34" s="16" t="n">
        <v>0.033333</v>
      </c>
    </row>
    <row r="36" customFormat="false" ht="15" hidden="false" customHeight="false" outlineLevel="0" collapsed="false">
      <c r="A36" s="1" t="s">
        <v>136</v>
      </c>
      <c r="B36" s="26" t="n">
        <f aca="false">SUM(B5:B34)</f>
        <v>0.99999</v>
      </c>
    </row>
    <row r="37" customFormat="false" ht="15" hidden="false" customHeight="false" outlineLevel="0" collapsed="false">
      <c r="A37" s="1" t="s">
        <v>137</v>
      </c>
      <c r="B37" s="41" t="n">
        <f aca="false">SUMSQ(B5:B34)</f>
        <v>0.03333266667</v>
      </c>
    </row>
    <row r="38" customFormat="false" ht="15" hidden="false" customHeight="false" outlineLevel="0" collapsed="false">
      <c r="A38" s="1" t="s">
        <v>138</v>
      </c>
      <c r="B38" s="42" t="n">
        <f aca="false">1/B37</f>
        <v>30.0006000090001</v>
      </c>
    </row>
    <row r="39" customFormat="false" ht="15" hidden="false" customHeight="false" outlineLevel="0" collapsed="false">
      <c r="A39" s="1" t="s">
        <v>139</v>
      </c>
      <c r="B39" s="11" t="n">
        <f aca="false">COUNTIF(B5:B34,"&gt;0")</f>
        <v>30</v>
      </c>
    </row>
    <row r="42" customFormat="false" ht="15" hidden="false" customHeight="false" outlineLevel="0" collapsed="false">
      <c r="A42" s="19" t="s">
        <v>140</v>
      </c>
      <c r="B42" s="19"/>
      <c r="C42" s="19"/>
      <c r="D42" s="19"/>
    </row>
    <row r="43" customFormat="false" ht="26.85" hidden="false" customHeight="false" outlineLevel="0" collapsed="false">
      <c r="A43" s="14" t="s">
        <v>141</v>
      </c>
      <c r="B43" s="14" t="s">
        <v>142</v>
      </c>
      <c r="C43" s="14" t="s">
        <v>143</v>
      </c>
      <c r="D43" s="14"/>
    </row>
    <row r="44" customFormat="false" ht="15" hidden="false" customHeight="false" outlineLevel="0" collapsed="false">
      <c r="A44" s="43" t="n">
        <v>10</v>
      </c>
      <c r="B44" s="29" t="n">
        <f aca="false">1/A44</f>
        <v>0.1</v>
      </c>
      <c r="C44" s="44" t="n">
        <f aca="false">1/B44</f>
        <v>10</v>
      </c>
    </row>
    <row r="45" customFormat="false" ht="15" hidden="false" customHeight="false" outlineLevel="0" collapsed="false">
      <c r="A45" s="43" t="n">
        <v>25</v>
      </c>
      <c r="B45" s="29" t="n">
        <f aca="false">1/A45</f>
        <v>0.04</v>
      </c>
      <c r="C45" s="44" t="n">
        <f aca="false">1/B45</f>
        <v>25</v>
      </c>
    </row>
    <row r="46" customFormat="false" ht="15" hidden="false" customHeight="false" outlineLevel="0" collapsed="false">
      <c r="A46" s="43" t="n">
        <v>30</v>
      </c>
      <c r="B46" s="29" t="n">
        <f aca="false">1/A46</f>
        <v>0.0333333333333333</v>
      </c>
      <c r="C46" s="44" t="n">
        <f aca="false">1/B46</f>
        <v>30</v>
      </c>
    </row>
    <row r="47" customFormat="false" ht="15" hidden="false" customHeight="false" outlineLevel="0" collapsed="false">
      <c r="A47" s="43" t="n">
        <v>50</v>
      </c>
      <c r="B47" s="29" t="n">
        <f aca="false">1/A47</f>
        <v>0.02</v>
      </c>
      <c r="C47" s="44" t="n">
        <f aca="false">1/B47</f>
        <v>50</v>
      </c>
    </row>
    <row r="48" customFormat="false" ht="15" hidden="false" customHeight="false" outlineLevel="0" collapsed="false">
      <c r="A48" s="43" t="n">
        <v>100</v>
      </c>
      <c r="B48" s="29" t="n">
        <f aca="false">1/A48</f>
        <v>0.01</v>
      </c>
      <c r="C48" s="44" t="n">
        <f aca="false">1/B48</f>
        <v>100</v>
      </c>
    </row>
    <row r="49" customFormat="false" ht="15" hidden="false" customHeight="false" outlineLevel="0" collapsed="false">
      <c r="A49" s="43" t="n">
        <v>500</v>
      </c>
      <c r="B49" s="29" t="n">
        <f aca="false">1/A49</f>
        <v>0.002</v>
      </c>
      <c r="C49" s="44" t="n">
        <f aca="false">1/B49</f>
        <v>500</v>
      </c>
    </row>
    <row r="52" customFormat="false" ht="15" hidden="false" customHeight="false" outlineLevel="0" collapsed="false">
      <c r="A52" s="19" t="s">
        <v>144</v>
      </c>
      <c r="B52" s="19"/>
      <c r="C52" s="19"/>
      <c r="D52" s="19"/>
    </row>
    <row r="53" customFormat="false" ht="39.55" hidden="false" customHeight="false" outlineLevel="0" collapsed="false">
      <c r="A53" s="14" t="s">
        <v>145</v>
      </c>
      <c r="B53" s="14" t="s">
        <v>146</v>
      </c>
      <c r="C53" s="14" t="s">
        <v>147</v>
      </c>
      <c r="D53" s="14" t="s">
        <v>148</v>
      </c>
    </row>
    <row r="54" customFormat="false" ht="15" hidden="false" customHeight="false" outlineLevel="0" collapsed="false">
      <c r="A54" s="20" t="n">
        <v>0.0333</v>
      </c>
      <c r="B54" s="17" t="n">
        <f aca="false">(1-A54)/29</f>
        <v>0.0333344827586207</v>
      </c>
      <c r="C54" s="45" t="n">
        <f aca="false">A54^2+29*B54^2</f>
        <v>0.0333333344827586</v>
      </c>
      <c r="D54" s="44" t="n">
        <f aca="false">1/C54</f>
        <v>29.9999989655173</v>
      </c>
    </row>
    <row r="55" customFormat="false" ht="15" hidden="false" customHeight="false" outlineLevel="0" collapsed="false">
      <c r="A55" s="20" t="n">
        <v>0.05</v>
      </c>
      <c r="B55" s="17" t="n">
        <f aca="false">(1-A55)/29</f>
        <v>0.0327586206896552</v>
      </c>
      <c r="C55" s="45" t="n">
        <f aca="false">A55^2+29*B55^2</f>
        <v>0.0336206896551724</v>
      </c>
      <c r="D55" s="44" t="n">
        <f aca="false">1/C55</f>
        <v>29.7435897435897</v>
      </c>
    </row>
    <row r="56" customFormat="false" ht="15" hidden="false" customHeight="false" outlineLevel="0" collapsed="false">
      <c r="A56" s="20" t="n">
        <v>0.08</v>
      </c>
      <c r="B56" s="17" t="n">
        <f aca="false">(1-A56)/29</f>
        <v>0.0317241379310345</v>
      </c>
      <c r="C56" s="45" t="n">
        <f aca="false">A56^2+29*B56^2</f>
        <v>0.0355862068965517</v>
      </c>
      <c r="D56" s="44" t="n">
        <f aca="false">1/C56</f>
        <v>28.1007751937984</v>
      </c>
    </row>
    <row r="57" customFormat="false" ht="15" hidden="false" customHeight="false" outlineLevel="0" collapsed="false">
      <c r="A57" s="20" t="n">
        <v>0.1</v>
      </c>
      <c r="B57" s="17" t="n">
        <f aca="false">(1-A57)/29</f>
        <v>0.0310344827586207</v>
      </c>
      <c r="C57" s="45" t="n">
        <f aca="false">A57^2+29*B57^2</f>
        <v>0.0379310344827586</v>
      </c>
      <c r="D57" s="44" t="n">
        <f aca="false">1/C57</f>
        <v>26.3636363636364</v>
      </c>
    </row>
    <row r="58" customFormat="false" ht="15" hidden="false" customHeight="false" outlineLevel="0" collapsed="false">
      <c r="A58" s="20" t="n">
        <v>0.15</v>
      </c>
      <c r="B58" s="17" t="n">
        <f aca="false">(1-A58)/29</f>
        <v>0.0293103448275862</v>
      </c>
      <c r="C58" s="45" t="n">
        <f aca="false">A58^2+29*B58^2</f>
        <v>0.0474137931034483</v>
      </c>
      <c r="D58" s="44" t="n">
        <f aca="false">1/C58</f>
        <v>21.0909090909091</v>
      </c>
    </row>
    <row r="59" customFormat="false" ht="15" hidden="false" customHeight="false" outlineLevel="0" collapsed="false">
      <c r="A59" s="20" t="n">
        <v>0.2</v>
      </c>
      <c r="B59" s="17" t="n">
        <f aca="false">(1-A59)/29</f>
        <v>0.0275862068965517</v>
      </c>
      <c r="C59" s="45" t="n">
        <f aca="false">A59^2+29*B59^2</f>
        <v>0.0620689655172414</v>
      </c>
      <c r="D59" s="44" t="n">
        <f aca="false">1/C59</f>
        <v>16.1111111111111</v>
      </c>
    </row>
    <row r="60" customFormat="false" ht="15" hidden="false" customHeight="false" outlineLevel="0" collapsed="false">
      <c r="A60" s="20" t="n">
        <v>0.25</v>
      </c>
      <c r="B60" s="17" t="n">
        <f aca="false">(1-A60)/29</f>
        <v>0.0258620689655172</v>
      </c>
      <c r="C60" s="45" t="n">
        <f aca="false">A60^2+29*B60^2</f>
        <v>0.0818965517241379</v>
      </c>
      <c r="D60" s="44" t="n">
        <f aca="false">1/C60</f>
        <v>12.2105263157895</v>
      </c>
    </row>
  </sheetData>
  <mergeCells count="5">
    <mergeCell ref="A1:D1"/>
    <mergeCell ref="A2:D2"/>
    <mergeCell ref="D4:D10"/>
    <mergeCell ref="A42:D42"/>
    <mergeCell ref="A52:D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5" min="2" style="1" width="12"/>
  </cols>
  <sheetData>
    <row r="1" customFormat="false" ht="17.35" hidden="false" customHeight="false" outlineLevel="0" collapsed="false">
      <c r="A1" s="2" t="s">
        <v>149</v>
      </c>
      <c r="B1" s="2"/>
      <c r="C1" s="2"/>
      <c r="D1" s="2"/>
      <c r="E1" s="2"/>
    </row>
    <row r="3" customFormat="false" ht="15" hidden="false" customHeight="false" outlineLevel="0" collapsed="false">
      <c r="A3" s="4" t="s">
        <v>150</v>
      </c>
    </row>
    <row r="4" customFormat="false" ht="26.85" hidden="false" customHeight="false" outlineLevel="0" collapsed="false">
      <c r="B4" s="14" t="s">
        <v>151</v>
      </c>
      <c r="C4" s="14" t="s">
        <v>152</v>
      </c>
      <c r="D4" s="14" t="s">
        <v>153</v>
      </c>
      <c r="E4" s="14" t="s">
        <v>154</v>
      </c>
    </row>
    <row r="5" customFormat="false" ht="15" hidden="false" customHeight="false" outlineLevel="0" collapsed="false">
      <c r="A5" s="11" t="s">
        <v>102</v>
      </c>
      <c r="B5" s="13" t="n">
        <v>0.55</v>
      </c>
      <c r="C5" s="13" t="n">
        <v>0.15</v>
      </c>
      <c r="D5" s="13" t="n">
        <v>0.15</v>
      </c>
      <c r="E5" s="13" t="n">
        <v>0.15</v>
      </c>
    </row>
    <row r="7" customFormat="false" ht="15" hidden="false" customHeight="false" outlineLevel="0" collapsed="false">
      <c r="A7" s="4" t="s">
        <v>155</v>
      </c>
    </row>
    <row r="8" customFormat="false" ht="26.85" hidden="false" customHeight="false" outlineLevel="0" collapsed="false">
      <c r="B8" s="14" t="s">
        <v>151</v>
      </c>
      <c r="C8" s="14" t="s">
        <v>152</v>
      </c>
      <c r="D8" s="14" t="s">
        <v>153</v>
      </c>
      <c r="E8" s="14" t="s">
        <v>154</v>
      </c>
    </row>
    <row r="9" customFormat="false" ht="15" hidden="false" customHeight="false" outlineLevel="0" collapsed="false">
      <c r="A9" s="11" t="s">
        <v>103</v>
      </c>
      <c r="B9" s="13" t="n">
        <v>0.16</v>
      </c>
      <c r="C9" s="13" t="n">
        <v>0.06</v>
      </c>
      <c r="D9" s="13" t="n">
        <v>0.22</v>
      </c>
      <c r="E9" s="13" t="n">
        <v>0.28</v>
      </c>
    </row>
    <row r="11" customFormat="false" ht="15" hidden="false" customHeight="false" outlineLevel="0" collapsed="false">
      <c r="A11" s="4" t="s">
        <v>156</v>
      </c>
    </row>
    <row r="12" customFormat="false" ht="26.85" hidden="false" customHeight="false" outlineLevel="0" collapsed="false">
      <c r="A12" s="22"/>
      <c r="B12" s="14" t="s">
        <v>151</v>
      </c>
      <c r="C12" s="14" t="s">
        <v>152</v>
      </c>
      <c r="D12" s="14" t="s">
        <v>153</v>
      </c>
      <c r="E12" s="14" t="s">
        <v>154</v>
      </c>
    </row>
    <row r="13" customFormat="false" ht="15" hidden="false" customHeight="false" outlineLevel="0" collapsed="false">
      <c r="A13" s="15" t="s">
        <v>151</v>
      </c>
      <c r="B13" s="20" t="n">
        <v>1</v>
      </c>
      <c r="C13" s="20" t="n">
        <v>0.1</v>
      </c>
      <c r="D13" s="20" t="n">
        <v>0.85</v>
      </c>
      <c r="E13" s="20" t="n">
        <v>0.75</v>
      </c>
    </row>
    <row r="14" customFormat="false" ht="15" hidden="false" customHeight="false" outlineLevel="0" collapsed="false">
      <c r="A14" s="15" t="s">
        <v>152</v>
      </c>
      <c r="B14" s="20" t="n">
        <v>0.1</v>
      </c>
      <c r="C14" s="20" t="n">
        <v>1</v>
      </c>
      <c r="D14" s="20" t="n">
        <v>0.05</v>
      </c>
      <c r="E14" s="20" t="n">
        <v>0.05</v>
      </c>
    </row>
    <row r="15" customFormat="false" ht="15" hidden="false" customHeight="false" outlineLevel="0" collapsed="false">
      <c r="A15" s="15" t="s">
        <v>153</v>
      </c>
      <c r="B15" s="20" t="n">
        <v>0.85</v>
      </c>
      <c r="C15" s="20" t="n">
        <v>0.05</v>
      </c>
      <c r="D15" s="20" t="n">
        <v>1</v>
      </c>
      <c r="E15" s="20" t="n">
        <v>0.65</v>
      </c>
    </row>
    <row r="16" customFormat="false" ht="15" hidden="false" customHeight="false" outlineLevel="0" collapsed="false">
      <c r="A16" s="15" t="s">
        <v>154</v>
      </c>
      <c r="B16" s="20" t="n">
        <v>0.75</v>
      </c>
      <c r="C16" s="20" t="n">
        <v>0.05</v>
      </c>
      <c r="D16" s="20" t="n">
        <v>0.65</v>
      </c>
      <c r="E16" s="20" t="n">
        <v>1</v>
      </c>
    </row>
    <row r="18" customFormat="false" ht="15" hidden="false" customHeight="false" outlineLevel="0" collapsed="false">
      <c r="A18" s="4" t="s">
        <v>157</v>
      </c>
    </row>
    <row r="19" customFormat="false" ht="26.85" hidden="false" customHeight="false" outlineLevel="0" collapsed="false">
      <c r="A19" s="22"/>
      <c r="B19" s="14" t="s">
        <v>151</v>
      </c>
      <c r="C19" s="14" t="s">
        <v>152</v>
      </c>
      <c r="D19" s="14" t="s">
        <v>153</v>
      </c>
      <c r="E19" s="14" t="s">
        <v>154</v>
      </c>
    </row>
    <row r="20" customFormat="false" ht="15" hidden="false" customHeight="false" outlineLevel="0" collapsed="false">
      <c r="A20" s="15" t="s">
        <v>151</v>
      </c>
      <c r="B20" s="45" t="n">
        <f aca="false">B$9*B$9*B13</f>
        <v>0.0256</v>
      </c>
      <c r="C20" s="45" t="n">
        <f aca="false">B$9*C$9*C13</f>
        <v>0.00096</v>
      </c>
      <c r="D20" s="45" t="n">
        <f aca="false">B$9*D$9*D13</f>
        <v>0.02992</v>
      </c>
      <c r="E20" s="45" t="n">
        <f aca="false">B$9*E$9*E13</f>
        <v>0.0336</v>
      </c>
    </row>
    <row r="21" customFormat="false" ht="15" hidden="false" customHeight="false" outlineLevel="0" collapsed="false">
      <c r="A21" s="15" t="s">
        <v>152</v>
      </c>
      <c r="B21" s="45" t="n">
        <f aca="false">C$9*B$9*B14</f>
        <v>0.00096</v>
      </c>
      <c r="C21" s="45" t="n">
        <f aca="false">C$9*C$9*C14</f>
        <v>0.0036</v>
      </c>
      <c r="D21" s="45" t="n">
        <f aca="false">C$9*D$9*D14</f>
        <v>0.00066</v>
      </c>
      <c r="E21" s="45" t="n">
        <f aca="false">C$9*E$9*E14</f>
        <v>0.00084</v>
      </c>
    </row>
    <row r="22" customFormat="false" ht="15" hidden="false" customHeight="false" outlineLevel="0" collapsed="false">
      <c r="A22" s="15" t="s">
        <v>153</v>
      </c>
      <c r="B22" s="45" t="n">
        <f aca="false">D$9*B$9*B15</f>
        <v>0.02992</v>
      </c>
      <c r="C22" s="45" t="n">
        <f aca="false">D$9*C$9*C15</f>
        <v>0.00066</v>
      </c>
      <c r="D22" s="45" t="n">
        <f aca="false">D$9*D$9*D15</f>
        <v>0.0484</v>
      </c>
      <c r="E22" s="45" t="n">
        <f aca="false">D$9*E$9*E15</f>
        <v>0.04004</v>
      </c>
    </row>
    <row r="23" customFormat="false" ht="15" hidden="false" customHeight="false" outlineLevel="0" collapsed="false">
      <c r="A23" s="15" t="s">
        <v>154</v>
      </c>
      <c r="B23" s="45" t="n">
        <f aca="false">E$9*B$9*B16</f>
        <v>0.0336</v>
      </c>
      <c r="C23" s="45" t="n">
        <f aca="false">E$9*C$9*C16</f>
        <v>0.00084</v>
      </c>
      <c r="D23" s="45" t="n">
        <f aca="false">E$9*D$9*D16</f>
        <v>0.04004</v>
      </c>
      <c r="E23" s="45" t="n">
        <f aca="false">E$9*E$9*E16</f>
        <v>0.0784</v>
      </c>
    </row>
    <row r="25" customFormat="false" ht="15" hidden="false" customHeight="false" outlineLevel="0" collapsed="false">
      <c r="A25" s="4" t="s">
        <v>158</v>
      </c>
    </row>
    <row r="26" customFormat="false" ht="15" hidden="false" customHeight="true" outlineLevel="0" collapsed="false">
      <c r="A26" s="11" t="s">
        <v>93</v>
      </c>
      <c r="B26" s="46" t="n">
        <f aca="false">$B$5*$B$5*B20+$B$5*$C$5*C20+$B$5*$D$5*D20+$B$5*$E$5*E20+$C$5*$B$5*B21+$C$5*$C$5*C21+$C$5*$D$5*D21+$C$5*$E$5*E21+$D$5*$B$5*B22+$D$5*$C$5*C22+$D$5*$D$5*D22+$D$5*$E$5*E22+$E$5*$B$5*B23+$E$5*$C$5*C23+$E$5*$D$5*D23+$E$5*$E$5*E23</f>
        <v>0.0231865</v>
      </c>
      <c r="D26" s="10" t="s">
        <v>159</v>
      </c>
      <c r="E26" s="10"/>
    </row>
    <row r="27" customFormat="false" ht="15" hidden="false" customHeight="false" outlineLevel="0" collapsed="false">
      <c r="A27" s="4" t="s">
        <v>94</v>
      </c>
      <c r="B27" s="33" t="n">
        <f aca="false">SQRT(B26)</f>
        <v>0.152271139747491</v>
      </c>
      <c r="D27" s="10"/>
      <c r="E27" s="10"/>
    </row>
    <row r="28" customFormat="false" ht="15" hidden="false" customHeight="false" outlineLevel="0" collapsed="false">
      <c r="A28" s="11" t="s">
        <v>95</v>
      </c>
      <c r="B28" s="34" t="n">
        <f aca="false">B$5*B$9+C$5*C$9+D$5*D$9+E$5*E$9</f>
        <v>0.172</v>
      </c>
      <c r="D28" s="10"/>
      <c r="E28" s="10"/>
    </row>
    <row r="29" customFormat="false" ht="15" hidden="false" customHeight="false" outlineLevel="0" collapsed="false">
      <c r="A29" s="4" t="s">
        <v>96</v>
      </c>
      <c r="B29" s="33" t="n">
        <f aca="false">B28-B27</f>
        <v>0.0197288602525088</v>
      </c>
      <c r="D29" s="10"/>
      <c r="E29" s="10"/>
    </row>
  </sheetData>
  <mergeCells count="2">
    <mergeCell ref="A1:E1"/>
    <mergeCell ref="D26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14"/>
  </cols>
  <sheetData>
    <row r="1" customFormat="false" ht="17.35" hidden="false" customHeight="false" outlineLevel="0" collapsed="false">
      <c r="A1" s="2" t="s">
        <v>160</v>
      </c>
      <c r="B1" s="2"/>
      <c r="C1" s="2"/>
    </row>
    <row r="3" customFormat="false" ht="15" hidden="false" customHeight="false" outlineLevel="0" collapsed="false">
      <c r="A3" s="4" t="s">
        <v>161</v>
      </c>
    </row>
    <row r="4" customFormat="false" ht="15" hidden="false" customHeight="false" outlineLevel="0" collapsed="false">
      <c r="A4" s="22" t="s">
        <v>162</v>
      </c>
      <c r="B4" s="47" t="n">
        <v>100</v>
      </c>
    </row>
    <row r="5" customFormat="false" ht="15" hidden="false" customHeight="false" outlineLevel="0" collapsed="false">
      <c r="A5" s="22" t="s">
        <v>163</v>
      </c>
      <c r="B5" s="47" t="n">
        <v>90</v>
      </c>
    </row>
    <row r="6" customFormat="false" ht="15" hidden="false" customHeight="false" outlineLevel="0" collapsed="false">
      <c r="A6" s="22" t="s">
        <v>164</v>
      </c>
      <c r="B6" s="47" t="n">
        <v>2</v>
      </c>
    </row>
    <row r="7" customFormat="false" ht="15" hidden="false" customHeight="false" outlineLevel="0" collapsed="false">
      <c r="A7" s="22" t="s">
        <v>165</v>
      </c>
      <c r="B7" s="43" t="n">
        <v>1</v>
      </c>
    </row>
    <row r="8" customFormat="false" ht="15" hidden="false" customHeight="false" outlineLevel="0" collapsed="false">
      <c r="A8" s="22"/>
      <c r="B8" s="22"/>
    </row>
    <row r="9" customFormat="false" ht="15" hidden="false" customHeight="false" outlineLevel="0" collapsed="false">
      <c r="A9" s="22" t="s">
        <v>166</v>
      </c>
      <c r="B9" s="18" t="n">
        <f aca="false">B5*100*B7</f>
        <v>9000</v>
      </c>
    </row>
    <row r="10" customFormat="false" ht="15" hidden="false" customHeight="false" outlineLevel="0" collapsed="false">
      <c r="A10" s="22" t="s">
        <v>167</v>
      </c>
      <c r="B10" s="18" t="n">
        <f aca="false">B6*100*B7</f>
        <v>200</v>
      </c>
    </row>
    <row r="11" customFormat="false" ht="15" hidden="false" customHeight="false" outlineLevel="0" collapsed="false">
      <c r="A11" s="22" t="s">
        <v>168</v>
      </c>
      <c r="B11" s="18" t="n">
        <f aca="false">B5-B6</f>
        <v>88</v>
      </c>
    </row>
    <row r="12" customFormat="false" ht="15" hidden="false" customHeight="false" outlineLevel="0" collapsed="false">
      <c r="A12" s="22" t="s">
        <v>169</v>
      </c>
      <c r="B12" s="30" t="n">
        <f aca="false">B10/B9</f>
        <v>0.0222222222222222</v>
      </c>
    </row>
    <row r="13" customFormat="false" ht="15" hidden="false" customHeight="false" outlineLevel="0" collapsed="false">
      <c r="A13" s="22" t="s">
        <v>170</v>
      </c>
      <c r="B13" s="21" t="n">
        <f aca="false">B12*12</f>
        <v>0.266666666666667</v>
      </c>
    </row>
    <row r="16" customFormat="false" ht="15" hidden="false" customHeight="false" outlineLevel="0" collapsed="false">
      <c r="A16" s="4" t="s">
        <v>171</v>
      </c>
    </row>
    <row r="17" customFormat="false" ht="15" hidden="false" customHeight="false" outlineLevel="0" collapsed="false">
      <c r="A17" s="22" t="s">
        <v>172</v>
      </c>
      <c r="B17" s="18" t="n">
        <f aca="false">B11</f>
        <v>88</v>
      </c>
    </row>
    <row r="18" customFormat="false" ht="15" hidden="false" customHeight="false" outlineLevel="0" collapsed="false">
      <c r="A18" s="22" t="s">
        <v>173</v>
      </c>
      <c r="B18" s="47" t="n">
        <v>95</v>
      </c>
    </row>
    <row r="19" customFormat="false" ht="15" hidden="false" customHeight="false" outlineLevel="0" collapsed="false">
      <c r="A19" s="22" t="s">
        <v>174</v>
      </c>
      <c r="B19" s="47" t="n">
        <v>1.5</v>
      </c>
    </row>
    <row r="20" customFormat="false" ht="15" hidden="false" customHeight="false" outlineLevel="0" collapsed="false">
      <c r="A20" s="22" t="s">
        <v>175</v>
      </c>
      <c r="B20" s="18" t="n">
        <f aca="false">B18+B19</f>
        <v>96.5</v>
      </c>
    </row>
    <row r="21" customFormat="false" ht="15" hidden="false" customHeight="false" outlineLevel="0" collapsed="false">
      <c r="A21" s="22" t="s">
        <v>176</v>
      </c>
      <c r="B21" s="37" t="n">
        <f aca="false">B20-B17</f>
        <v>8.5</v>
      </c>
    </row>
    <row r="22" customFormat="false" ht="15" hidden="false" customHeight="false" outlineLevel="0" collapsed="false">
      <c r="A22" s="22" t="s">
        <v>177</v>
      </c>
      <c r="B22" s="37" t="n">
        <f aca="false">B21*100*B7</f>
        <v>850</v>
      </c>
    </row>
    <row r="23" customFormat="false" ht="15" hidden="false" customHeight="false" outlineLevel="0" collapsed="false">
      <c r="A23" s="22" t="s">
        <v>178</v>
      </c>
      <c r="B23" s="30" t="n">
        <f aca="false">B21/B17</f>
        <v>0.0965909090909091</v>
      </c>
    </row>
    <row r="25" customFormat="false" ht="15" hidden="false" customHeight="false" outlineLevel="0" collapsed="false">
      <c r="A25" s="4" t="s">
        <v>179</v>
      </c>
    </row>
    <row r="26" customFormat="false" ht="15" hidden="false" customHeight="false" outlineLevel="0" collapsed="false">
      <c r="A26" s="22" t="s">
        <v>180</v>
      </c>
      <c r="B26" s="48" t="n">
        <v>70</v>
      </c>
    </row>
    <row r="27" customFormat="false" ht="15" hidden="false" customHeight="false" outlineLevel="0" collapsed="false">
      <c r="A27" s="22" t="s">
        <v>181</v>
      </c>
      <c r="B27" s="18" t="n">
        <f aca="false">B17-B26</f>
        <v>18</v>
      </c>
    </row>
    <row r="28" customFormat="false" ht="15" hidden="false" customHeight="false" outlineLevel="0" collapsed="false">
      <c r="A28" s="22" t="s">
        <v>182</v>
      </c>
      <c r="B28" s="37" t="n">
        <f aca="false">B27*100*B7</f>
        <v>1800</v>
      </c>
    </row>
    <row r="29" customFormat="false" ht="15" hidden="false" customHeight="false" outlineLevel="0" collapsed="false">
      <c r="A29" s="22" t="s">
        <v>183</v>
      </c>
      <c r="B29" s="18" t="n">
        <f aca="false">B10</f>
        <v>200</v>
      </c>
    </row>
    <row r="30" customFormat="false" ht="15" hidden="false" customHeight="false" outlineLevel="0" collapsed="false">
      <c r="A30" s="22" t="s">
        <v>184</v>
      </c>
      <c r="B30" s="37" t="n">
        <f aca="false">B29-B28</f>
        <v>-1600</v>
      </c>
    </row>
    <row r="33" customFormat="false" ht="15" hidden="false" customHeight="false" outlineLevel="0" collapsed="false">
      <c r="A33" s="19" t="s">
        <v>185</v>
      </c>
      <c r="B33" s="19"/>
      <c r="C33" s="19"/>
    </row>
    <row r="34" customFormat="false" ht="26.85" hidden="false" customHeight="false" outlineLevel="0" collapsed="false">
      <c r="A34" s="14" t="s">
        <v>186</v>
      </c>
      <c r="B34" s="14" t="s">
        <v>187</v>
      </c>
      <c r="C34" s="14" t="s">
        <v>188</v>
      </c>
    </row>
    <row r="35" customFormat="false" ht="15" hidden="false" customHeight="false" outlineLevel="0" collapsed="false">
      <c r="A35" s="47" t="n">
        <v>95</v>
      </c>
      <c r="B35" s="47" t="n">
        <v>3.5</v>
      </c>
      <c r="C35" s="31" t="n">
        <f aca="false">(B35*100)/(A35*100)</f>
        <v>0.0368421052631579</v>
      </c>
    </row>
    <row r="36" customFormat="false" ht="15" hidden="false" customHeight="false" outlineLevel="0" collapsed="false">
      <c r="A36" s="47" t="n">
        <v>90</v>
      </c>
      <c r="B36" s="47" t="n">
        <v>2</v>
      </c>
      <c r="C36" s="31" t="n">
        <f aca="false">(B36*100)/(A36*100)</f>
        <v>0.0222222222222222</v>
      </c>
    </row>
    <row r="37" customFormat="false" ht="15" hidden="false" customHeight="false" outlineLevel="0" collapsed="false">
      <c r="A37" s="47" t="n">
        <v>85</v>
      </c>
      <c r="B37" s="47" t="n">
        <v>1.1</v>
      </c>
      <c r="C37" s="31" t="n">
        <f aca="false">(B37*100)/(A37*100)</f>
        <v>0.0129411764705882</v>
      </c>
    </row>
    <row r="38" customFormat="false" ht="15" hidden="false" customHeight="false" outlineLevel="0" collapsed="false">
      <c r="A38" s="47" t="n">
        <v>80</v>
      </c>
      <c r="B38" s="47" t="n">
        <v>0.6</v>
      </c>
      <c r="C38" s="31" t="n">
        <f aca="false">(B38*100)/(A38*100)</f>
        <v>0.0075</v>
      </c>
    </row>
  </sheetData>
  <mergeCells count="2">
    <mergeCell ref="A1:C1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6"/>
  </cols>
  <sheetData>
    <row r="1" customFormat="false" ht="17.35" hidden="false" customHeight="false" outlineLevel="0" collapsed="false">
      <c r="A1" s="2" t="s">
        <v>189</v>
      </c>
      <c r="B1" s="2"/>
      <c r="C1" s="2"/>
      <c r="D1" s="2"/>
    </row>
    <row r="3" customFormat="false" ht="15" hidden="false" customHeight="false" outlineLevel="0" collapsed="false">
      <c r="A3" s="4" t="s">
        <v>190</v>
      </c>
    </row>
    <row r="4" customFormat="false" ht="15" hidden="false" customHeight="false" outlineLevel="0" collapsed="false">
      <c r="A4" s="22" t="s">
        <v>191</v>
      </c>
      <c r="B4" s="23" t="n">
        <v>1000</v>
      </c>
    </row>
    <row r="5" customFormat="false" ht="15" hidden="false" customHeight="false" outlineLevel="0" collapsed="false">
      <c r="A5" s="22" t="s">
        <v>192</v>
      </c>
      <c r="B5" s="20" t="n">
        <v>0.15</v>
      </c>
    </row>
    <row r="6" customFormat="false" ht="15" hidden="false" customHeight="false" outlineLevel="0" collapsed="false">
      <c r="A6" s="22" t="s">
        <v>193</v>
      </c>
      <c r="B6" s="20" t="n">
        <v>0.24</v>
      </c>
    </row>
    <row r="7" customFormat="false" ht="15" hidden="false" customHeight="false" outlineLevel="0" collapsed="false">
      <c r="A7" s="22" t="s">
        <v>194</v>
      </c>
      <c r="B7" s="18" t="n">
        <f aca="false">B4*B5</f>
        <v>150</v>
      </c>
    </row>
    <row r="8" customFormat="false" ht="15" hidden="false" customHeight="false" outlineLevel="0" collapsed="false">
      <c r="A8" s="22" t="s">
        <v>195</v>
      </c>
      <c r="B8" s="18" t="n">
        <f aca="false">B4*B6</f>
        <v>240</v>
      </c>
    </row>
    <row r="9" customFormat="false" ht="15" hidden="false" customHeight="false" outlineLevel="0" collapsed="false">
      <c r="A9" s="22" t="s">
        <v>196</v>
      </c>
      <c r="B9" s="18" t="n">
        <f aca="false">B4-B7</f>
        <v>850</v>
      </c>
    </row>
    <row r="10" customFormat="false" ht="15" hidden="false" customHeight="false" outlineLevel="0" collapsed="false">
      <c r="A10" s="22" t="s">
        <v>197</v>
      </c>
      <c r="B10" s="18" t="n">
        <f aca="false">B4-B8</f>
        <v>760</v>
      </c>
    </row>
    <row r="11" customFormat="false" ht="15" hidden="false" customHeight="false" outlineLevel="0" collapsed="false">
      <c r="A11" s="22" t="s">
        <v>198</v>
      </c>
      <c r="B11" s="37" t="n">
        <f aca="false">B8-B7</f>
        <v>90</v>
      </c>
    </row>
    <row r="13" customFormat="false" ht="15" hidden="false" customHeight="false" outlineLevel="0" collapsed="false">
      <c r="A13" s="4" t="s">
        <v>199</v>
      </c>
    </row>
    <row r="14" customFormat="false" ht="15" hidden="false" customHeight="false" outlineLevel="0" collapsed="false">
      <c r="A14" s="22" t="s">
        <v>200</v>
      </c>
      <c r="B14" s="43" t="n">
        <v>100</v>
      </c>
    </row>
    <row r="15" customFormat="false" ht="15" hidden="false" customHeight="false" outlineLevel="0" collapsed="false">
      <c r="A15" s="22" t="s">
        <v>201</v>
      </c>
      <c r="B15" s="47" t="n">
        <v>50</v>
      </c>
    </row>
    <row r="16" customFormat="false" ht="15" hidden="false" customHeight="false" outlineLevel="0" collapsed="false">
      <c r="A16" s="22" t="s">
        <v>202</v>
      </c>
      <c r="B16" s="47" t="n">
        <v>40</v>
      </c>
    </row>
    <row r="17" customFormat="false" ht="15" hidden="false" customHeight="false" outlineLevel="0" collapsed="false">
      <c r="A17" s="22" t="s">
        <v>203</v>
      </c>
      <c r="B17" s="18" t="n">
        <f aca="false">(B15-B16)*B14</f>
        <v>1000</v>
      </c>
    </row>
    <row r="18" customFormat="false" ht="15" hidden="false" customHeight="false" outlineLevel="0" collapsed="false">
      <c r="A18" s="22" t="s">
        <v>204</v>
      </c>
      <c r="B18" s="47" t="n">
        <v>41</v>
      </c>
    </row>
    <row r="19" customFormat="false" ht="15" hidden="false" customHeight="false" outlineLevel="0" collapsed="false">
      <c r="A19" s="22" t="s">
        <v>205</v>
      </c>
      <c r="B19" s="43" t="n">
        <v>100</v>
      </c>
    </row>
    <row r="20" customFormat="false" ht="15" hidden="false" customHeight="false" outlineLevel="0" collapsed="false">
      <c r="A20" s="22" t="s">
        <v>206</v>
      </c>
      <c r="B20" s="18" t="n">
        <f aca="false">B17*(B19/B14)</f>
        <v>1000</v>
      </c>
    </row>
    <row r="21" customFormat="false" ht="15" hidden="false" customHeight="false" outlineLevel="0" collapsed="false">
      <c r="A21" s="22" t="s">
        <v>207</v>
      </c>
      <c r="B21" s="18" t="n">
        <f aca="false">B17-B20</f>
        <v>0</v>
      </c>
    </row>
    <row r="22" customFormat="false" ht="15" hidden="false" customHeight="false" outlineLevel="0" collapsed="false">
      <c r="A22" s="22" t="s">
        <v>208</v>
      </c>
      <c r="B22" s="18" t="n">
        <f aca="false">B18*B19</f>
        <v>4100</v>
      </c>
    </row>
    <row r="23" customFormat="false" ht="15" hidden="false" customHeight="false" outlineLevel="0" collapsed="false">
      <c r="A23" s="22" t="s">
        <v>209</v>
      </c>
      <c r="B23" s="37" t="n">
        <f aca="false">B22+B20</f>
        <v>5100</v>
      </c>
    </row>
    <row r="24" customFormat="false" ht="15" hidden="false" customHeight="false" outlineLevel="0" collapsed="false">
      <c r="A24" s="22" t="s">
        <v>210</v>
      </c>
      <c r="B24" s="37" t="n">
        <f aca="false">B23/B19</f>
        <v>51</v>
      </c>
    </row>
    <row r="26" customFormat="false" ht="15" hidden="false" customHeight="false" outlineLevel="0" collapsed="false">
      <c r="A26" s="4" t="s">
        <v>211</v>
      </c>
    </row>
    <row r="27" customFormat="false" ht="15" hidden="false" customHeight="true" outlineLevel="0" collapsed="false">
      <c r="A27" s="22" t="s">
        <v>212</v>
      </c>
      <c r="B27" s="49" t="n">
        <v>100000</v>
      </c>
      <c r="D27" s="10" t="s">
        <v>213</v>
      </c>
    </row>
    <row r="28" customFormat="false" ht="15" hidden="false" customHeight="false" outlineLevel="0" collapsed="false">
      <c r="A28" s="22" t="s">
        <v>214</v>
      </c>
      <c r="B28" s="49" t="n">
        <v>50000</v>
      </c>
      <c r="D28" s="10"/>
    </row>
    <row r="29" customFormat="false" ht="15" hidden="false" customHeight="false" outlineLevel="0" collapsed="false">
      <c r="A29" s="22" t="s">
        <v>215</v>
      </c>
      <c r="B29" s="23" t="n">
        <v>49450</v>
      </c>
      <c r="D29" s="10"/>
    </row>
    <row r="30" customFormat="false" ht="15" hidden="false" customHeight="false" outlineLevel="0" collapsed="false">
      <c r="A30" s="22" t="s">
        <v>216</v>
      </c>
      <c r="B30" s="23" t="n">
        <v>545500</v>
      </c>
      <c r="D30" s="10"/>
    </row>
    <row r="31" customFormat="false" ht="15" hidden="false" customHeight="false" outlineLevel="0" collapsed="false">
      <c r="A31" s="22" t="s">
        <v>217</v>
      </c>
      <c r="B31" s="50" t="n">
        <f aca="false">B27+B28</f>
        <v>150000</v>
      </c>
      <c r="D31" s="10"/>
    </row>
    <row r="32" customFormat="false" ht="15" hidden="false" customHeight="false" outlineLevel="0" collapsed="false">
      <c r="A32" s="22" t="s">
        <v>218</v>
      </c>
      <c r="B32" s="50" t="n">
        <f aca="false">MAX(0,MIN(B31,B29)-MAX(B27,0))</f>
        <v>0</v>
      </c>
      <c r="D32" s="10"/>
    </row>
    <row r="33" customFormat="false" ht="15" hidden="false" customHeight="false" outlineLevel="0" collapsed="false">
      <c r="A33" s="22" t="s">
        <v>219</v>
      </c>
      <c r="B33" s="50" t="n">
        <f aca="false">MAX(0,MIN(B31,B30)-MAX(B27,B29))</f>
        <v>50000</v>
      </c>
      <c r="D33" s="10"/>
    </row>
    <row r="34" customFormat="false" ht="15" hidden="false" customHeight="false" outlineLevel="0" collapsed="false">
      <c r="A34" s="22" t="s">
        <v>220</v>
      </c>
      <c r="B34" s="50" t="n">
        <f aca="false">MAX(0,B31-MAX(B27,B30))</f>
        <v>0</v>
      </c>
    </row>
    <row r="35" customFormat="false" ht="15" hidden="false" customHeight="false" outlineLevel="0" collapsed="false">
      <c r="A35" s="22" t="s">
        <v>221</v>
      </c>
      <c r="B35" s="37" t="n">
        <f aca="false">B32*0+B33*0.15+B34*0.2</f>
        <v>7500</v>
      </c>
    </row>
    <row r="36" customFormat="false" ht="15" hidden="false" customHeight="false" outlineLevel="0" collapsed="false">
      <c r="A36" s="22" t="s">
        <v>222</v>
      </c>
      <c r="B36" s="36" t="n">
        <f aca="false">B35/B28</f>
        <v>0.15</v>
      </c>
    </row>
  </sheetData>
  <mergeCells count="2">
    <mergeCell ref="A1:D1"/>
    <mergeCell ref="D27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4"/>
    <col collapsed="false" customWidth="true" hidden="false" outlineLevel="0" max="6" min="4" style="1" width="16"/>
  </cols>
  <sheetData>
    <row r="1" customFormat="false" ht="17.35" hidden="false" customHeight="false" outlineLevel="0" collapsed="false">
      <c r="A1" s="2" t="s">
        <v>223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1" t="s">
        <v>224</v>
      </c>
      <c r="B2" s="12" t="n">
        <v>50000</v>
      </c>
    </row>
    <row r="3" customFormat="false" ht="39.55" hidden="false" customHeight="false" outlineLevel="0" collapsed="false">
      <c r="A3" s="14" t="s">
        <v>114</v>
      </c>
      <c r="B3" s="14" t="s">
        <v>225</v>
      </c>
      <c r="C3" s="14" t="s">
        <v>226</v>
      </c>
      <c r="D3" s="14" t="s">
        <v>227</v>
      </c>
      <c r="E3" s="14" t="s">
        <v>228</v>
      </c>
      <c r="F3" s="14" t="s">
        <v>229</v>
      </c>
    </row>
    <row r="4" customFormat="false" ht="15" hidden="false" customHeight="false" outlineLevel="0" collapsed="false">
      <c r="A4" s="15" t="s">
        <v>230</v>
      </c>
      <c r="B4" s="20" t="n">
        <v>0.55</v>
      </c>
      <c r="C4" s="20" t="n">
        <v>0.15</v>
      </c>
      <c r="D4" s="18" t="n">
        <f aca="false">$B$2*B4</f>
        <v>27500</v>
      </c>
      <c r="E4" s="18" t="n">
        <f aca="false">D4*(1+C4)</f>
        <v>31625</v>
      </c>
      <c r="F4" s="21" t="n">
        <f aca="false">E4/$E$8</f>
        <v>0.534657650042265</v>
      </c>
    </row>
    <row r="5" customFormat="false" ht="15" hidden="false" customHeight="false" outlineLevel="0" collapsed="false">
      <c r="A5" s="15" t="s">
        <v>127</v>
      </c>
      <c r="B5" s="20" t="n">
        <v>0.15</v>
      </c>
      <c r="C5" s="20" t="n">
        <v>0.02</v>
      </c>
      <c r="D5" s="18" t="n">
        <f aca="false">$B$2*B5</f>
        <v>7500</v>
      </c>
      <c r="E5" s="18" t="n">
        <f aca="false">D5*(1+C5)</f>
        <v>7650</v>
      </c>
      <c r="F5" s="21" t="n">
        <f aca="false">E5/$E$8</f>
        <v>0.129332206255283</v>
      </c>
    </row>
    <row r="6" customFormat="false" ht="15" hidden="false" customHeight="false" outlineLevel="0" collapsed="false">
      <c r="A6" s="15" t="s">
        <v>128</v>
      </c>
      <c r="B6" s="20" t="n">
        <v>0.15</v>
      </c>
      <c r="C6" s="20" t="n">
        <v>0.3</v>
      </c>
      <c r="D6" s="18" t="n">
        <f aca="false">$B$2*B6</f>
        <v>7500</v>
      </c>
      <c r="E6" s="18" t="n">
        <f aca="false">D6*(1+C6)</f>
        <v>9750</v>
      </c>
      <c r="F6" s="21" t="n">
        <f aca="false">E6/$E$8</f>
        <v>0.164835164835165</v>
      </c>
    </row>
    <row r="7" customFormat="false" ht="15" hidden="false" customHeight="false" outlineLevel="0" collapsed="false">
      <c r="A7" s="15" t="s">
        <v>154</v>
      </c>
      <c r="B7" s="20" t="n">
        <v>0.15</v>
      </c>
      <c r="C7" s="20" t="n">
        <v>0.35</v>
      </c>
      <c r="D7" s="18" t="n">
        <f aca="false">$B$2*B7</f>
        <v>7500</v>
      </c>
      <c r="E7" s="18" t="n">
        <f aca="false">D7*(1+C7)</f>
        <v>10125</v>
      </c>
      <c r="F7" s="21" t="n">
        <f aca="false">E7/$E$8</f>
        <v>0.171174978867287</v>
      </c>
    </row>
    <row r="8" customFormat="false" ht="15" hidden="false" customHeight="false" outlineLevel="0" collapsed="false">
      <c r="A8" s="35" t="s">
        <v>122</v>
      </c>
      <c r="B8" s="22"/>
      <c r="C8" s="22"/>
      <c r="D8" s="37" t="n">
        <f aca="false">SUM(D4:D7)</f>
        <v>50000</v>
      </c>
      <c r="E8" s="37" t="n">
        <f aca="false">SUM(E4:E7)</f>
        <v>59150</v>
      </c>
      <c r="F8" s="22"/>
    </row>
    <row r="11" customFormat="false" ht="15" hidden="false" customHeight="false" outlineLevel="0" collapsed="false">
      <c r="A11" s="19" t="s">
        <v>231</v>
      </c>
      <c r="B11" s="19"/>
      <c r="C11" s="19"/>
      <c r="D11" s="19"/>
      <c r="E11" s="19"/>
      <c r="F11" s="19"/>
    </row>
    <row r="12" customFormat="false" ht="26.85" hidden="false" customHeight="false" outlineLevel="0" collapsed="false">
      <c r="A12" s="14" t="s">
        <v>114</v>
      </c>
      <c r="B12" s="14" t="s">
        <v>232</v>
      </c>
      <c r="C12" s="14" t="s">
        <v>233</v>
      </c>
      <c r="D12" s="14" t="s">
        <v>234</v>
      </c>
      <c r="E12" s="14" t="s">
        <v>235</v>
      </c>
      <c r="F12" s="14" t="s">
        <v>236</v>
      </c>
    </row>
    <row r="13" customFormat="false" ht="15" hidden="false" customHeight="false" outlineLevel="0" collapsed="false">
      <c r="A13" s="15" t="s">
        <v>230</v>
      </c>
      <c r="B13" s="51" t="n">
        <f aca="false">E4</f>
        <v>31625</v>
      </c>
      <c r="C13" s="52" t="n">
        <f aca="false">B4</f>
        <v>0.55</v>
      </c>
      <c r="D13" s="18" t="n">
        <f aca="false">$E$8*C13</f>
        <v>32532.5</v>
      </c>
      <c r="E13" s="37" t="n">
        <f aca="false">D13-B13</f>
        <v>907.500000000004</v>
      </c>
      <c r="F13" s="15" t="str">
        <f aca="false">IF(E13&gt;=0,"BUY","SELL")</f>
        <v>BUY</v>
      </c>
    </row>
    <row r="14" customFormat="false" ht="15" hidden="false" customHeight="false" outlineLevel="0" collapsed="false">
      <c r="A14" s="15" t="s">
        <v>127</v>
      </c>
      <c r="B14" s="51" t="n">
        <f aca="false">E5</f>
        <v>7650</v>
      </c>
      <c r="C14" s="52" t="n">
        <f aca="false">B5</f>
        <v>0.15</v>
      </c>
      <c r="D14" s="18" t="n">
        <f aca="false">$E$8*C14</f>
        <v>8872.5</v>
      </c>
      <c r="E14" s="37" t="n">
        <f aca="false">D14-B14</f>
        <v>1222.5</v>
      </c>
      <c r="F14" s="15" t="str">
        <f aca="false">IF(E14&gt;=0,"BUY","SELL")</f>
        <v>BUY</v>
      </c>
    </row>
    <row r="15" customFormat="false" ht="15" hidden="false" customHeight="false" outlineLevel="0" collapsed="false">
      <c r="A15" s="15" t="s">
        <v>128</v>
      </c>
      <c r="B15" s="51" t="n">
        <f aca="false">E6</f>
        <v>9750</v>
      </c>
      <c r="C15" s="52" t="n">
        <f aca="false">B6</f>
        <v>0.15</v>
      </c>
      <c r="D15" s="18" t="n">
        <f aca="false">$E$8*C15</f>
        <v>8872.5</v>
      </c>
      <c r="E15" s="37" t="n">
        <f aca="false">D15-B15</f>
        <v>-877.5</v>
      </c>
      <c r="F15" s="15" t="str">
        <f aca="false">IF(E15&gt;=0,"BUY","SELL")</f>
        <v>SELL</v>
      </c>
    </row>
    <row r="16" customFormat="false" ht="15" hidden="false" customHeight="false" outlineLevel="0" collapsed="false">
      <c r="A16" s="15" t="s">
        <v>154</v>
      </c>
      <c r="B16" s="51" t="n">
        <f aca="false">E7</f>
        <v>10125</v>
      </c>
      <c r="C16" s="52" t="n">
        <f aca="false">B7</f>
        <v>0.15</v>
      </c>
      <c r="D16" s="18" t="n">
        <f aca="false">$E$8*C16</f>
        <v>8872.5</v>
      </c>
      <c r="E16" s="37" t="n">
        <f aca="false">D16-B16</f>
        <v>-1252.5</v>
      </c>
      <c r="F16" s="15" t="str">
        <f aca="false">IF(E16&gt;=0,"BUY","SELL")</f>
        <v>SELL</v>
      </c>
    </row>
    <row r="17" customFormat="false" ht="15" hidden="false" customHeight="false" outlineLevel="0" collapsed="false">
      <c r="A17" s="11" t="s">
        <v>237</v>
      </c>
      <c r="E17" s="28" t="n">
        <f aca="false">SUM(E13:E16)</f>
        <v>0</v>
      </c>
    </row>
  </sheetData>
  <mergeCells count="2">
    <mergeCell ref="A1:F1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4"/>
    <col collapsed="false" customWidth="true" hidden="false" outlineLevel="0" max="4" min="3" style="1" width="16"/>
  </cols>
  <sheetData>
    <row r="1" customFormat="false" ht="17.35" hidden="false" customHeight="false" outlineLevel="0" collapsed="false">
      <c r="A1" s="2" t="s">
        <v>238</v>
      </c>
      <c r="B1" s="2"/>
      <c r="C1" s="2"/>
      <c r="D1" s="2"/>
    </row>
    <row r="3" customFormat="false" ht="15" hidden="false" customHeight="true" outlineLevel="0" collapsed="false">
      <c r="A3" s="1" t="s">
        <v>239</v>
      </c>
      <c r="B3" s="12" t="n">
        <v>6000</v>
      </c>
      <c r="C3" s="10" t="s">
        <v>240</v>
      </c>
      <c r="D3" s="10"/>
    </row>
    <row r="4" customFormat="false" ht="15" hidden="false" customHeight="false" outlineLevel="0" collapsed="false">
      <c r="A4" s="1" t="s">
        <v>241</v>
      </c>
      <c r="B4" s="12" t="n">
        <v>500</v>
      </c>
      <c r="C4" s="10"/>
      <c r="D4" s="10"/>
    </row>
    <row r="6" customFormat="false" ht="39.55" hidden="false" customHeight="false" outlineLevel="0" collapsed="false">
      <c r="A6" s="14" t="s">
        <v>242</v>
      </c>
      <c r="B6" s="14" t="s">
        <v>243</v>
      </c>
      <c r="C6" s="14" t="s">
        <v>244</v>
      </c>
      <c r="D6" s="14"/>
      <c r="E6" s="14"/>
    </row>
    <row r="7" customFormat="false" ht="15" hidden="false" customHeight="false" outlineLevel="0" collapsed="false">
      <c r="A7" s="15" t="n">
        <v>1</v>
      </c>
      <c r="B7" s="20" t="n">
        <v>0.01</v>
      </c>
      <c r="C7" s="20" t="n">
        <v>-0.03</v>
      </c>
    </row>
    <row r="8" customFormat="false" ht="15" hidden="false" customHeight="false" outlineLevel="0" collapsed="false">
      <c r="A8" s="15" t="n">
        <v>2</v>
      </c>
      <c r="B8" s="20" t="n">
        <v>0.01</v>
      </c>
      <c r="C8" s="20" t="n">
        <v>-0.02</v>
      </c>
    </row>
    <row r="9" customFormat="false" ht="15" hidden="false" customHeight="false" outlineLevel="0" collapsed="false">
      <c r="A9" s="15" t="n">
        <v>3</v>
      </c>
      <c r="B9" s="20" t="n">
        <v>0.01</v>
      </c>
      <c r="C9" s="20" t="n">
        <v>0.01</v>
      </c>
    </row>
    <row r="10" customFormat="false" ht="15" hidden="false" customHeight="false" outlineLevel="0" collapsed="false">
      <c r="A10" s="15" t="n">
        <v>4</v>
      </c>
      <c r="B10" s="20" t="n">
        <v>0.01</v>
      </c>
      <c r="C10" s="20" t="n">
        <v>0.02</v>
      </c>
    </row>
    <row r="11" customFormat="false" ht="15" hidden="false" customHeight="false" outlineLevel="0" collapsed="false">
      <c r="A11" s="15" t="n">
        <v>5</v>
      </c>
      <c r="B11" s="20" t="n">
        <v>0.01</v>
      </c>
      <c r="C11" s="20" t="n">
        <v>0.015</v>
      </c>
    </row>
    <row r="12" customFormat="false" ht="15" hidden="false" customHeight="false" outlineLevel="0" collapsed="false">
      <c r="A12" s="15" t="n">
        <v>6</v>
      </c>
      <c r="B12" s="20" t="n">
        <v>0.01</v>
      </c>
      <c r="C12" s="20" t="n">
        <v>0.01</v>
      </c>
    </row>
    <row r="13" customFormat="false" ht="15" hidden="false" customHeight="false" outlineLevel="0" collapsed="false">
      <c r="A13" s="15" t="n">
        <v>7</v>
      </c>
      <c r="B13" s="20" t="n">
        <v>0.01</v>
      </c>
      <c r="C13" s="20" t="n">
        <v>0.02</v>
      </c>
    </row>
    <row r="14" customFormat="false" ht="15" hidden="false" customHeight="false" outlineLevel="0" collapsed="false">
      <c r="A14" s="15" t="n">
        <v>8</v>
      </c>
      <c r="B14" s="20" t="n">
        <v>0.01</v>
      </c>
      <c r="C14" s="20" t="n">
        <v>0.02</v>
      </c>
    </row>
    <row r="15" customFormat="false" ht="15" hidden="false" customHeight="false" outlineLevel="0" collapsed="false">
      <c r="A15" s="15" t="n">
        <v>9</v>
      </c>
      <c r="B15" s="20" t="n">
        <v>0.01</v>
      </c>
      <c r="C15" s="20" t="n">
        <v>0.015</v>
      </c>
    </row>
    <row r="16" customFormat="false" ht="15" hidden="false" customHeight="false" outlineLevel="0" collapsed="false">
      <c r="A16" s="15" t="n">
        <v>10</v>
      </c>
      <c r="B16" s="20" t="n">
        <v>0.01</v>
      </c>
      <c r="C16" s="20" t="n">
        <v>0.01</v>
      </c>
    </row>
    <row r="17" customFormat="false" ht="15" hidden="false" customHeight="false" outlineLevel="0" collapsed="false">
      <c r="A17" s="15" t="n">
        <v>11</v>
      </c>
      <c r="B17" s="20" t="n">
        <v>0.01</v>
      </c>
      <c r="C17" s="20" t="n">
        <v>0.01</v>
      </c>
    </row>
    <row r="18" customFormat="false" ht="15" hidden="false" customHeight="false" outlineLevel="0" collapsed="false">
      <c r="A18" s="15" t="n">
        <v>12</v>
      </c>
      <c r="B18" s="20" t="n">
        <v>0.01</v>
      </c>
      <c r="C18" s="20" t="n">
        <v>0.02</v>
      </c>
    </row>
    <row r="20" customFormat="false" ht="15" hidden="false" customHeight="false" outlineLevel="0" collapsed="false">
      <c r="A20" s="4" t="s">
        <v>245</v>
      </c>
      <c r="B20" s="28" t="n">
        <f aca="false">$B$3*(1+B7)*(1+B8)*(1+B9)*(1+B10)*(1+B11)*(1+B12)*(1+B13)*(1+B14)*(1+B15)*(1+B16)*(1+B17)*(1+B18)</f>
        <v>6760.95018079182</v>
      </c>
    </row>
    <row r="21" customFormat="false" ht="15" hidden="false" customHeight="false" outlineLevel="0" collapsed="false">
      <c r="A21" s="4" t="s">
        <v>246</v>
      </c>
      <c r="B21" s="28" t="n">
        <f aca="false">$B$3*(1+C7)*(1+C8)*(1+C9)*(1+C10)*(1+C11)*(1+C12)*(1+C13)*(1+C14)*(1+C15)*(1+C16)*(1+C17)*(1+C18)</f>
        <v>6618.61816668849</v>
      </c>
    </row>
    <row r="23" customFormat="false" ht="15" hidden="false" customHeight="false" outlineLevel="0" collapsed="false">
      <c r="A23" s="4" t="s">
        <v>247</v>
      </c>
    </row>
    <row r="24" customFormat="false" ht="39.55" hidden="false" customHeight="false" outlineLevel="0" collapsed="false">
      <c r="A24" s="14" t="s">
        <v>242</v>
      </c>
      <c r="B24" s="14" t="s">
        <v>248</v>
      </c>
      <c r="C24" s="14" t="s">
        <v>249</v>
      </c>
      <c r="D24" s="14"/>
      <c r="E24" s="14"/>
    </row>
    <row r="25" customFormat="false" ht="15" hidden="false" customHeight="false" outlineLevel="0" collapsed="false">
      <c r="A25" s="15" t="n">
        <v>1</v>
      </c>
      <c r="B25" s="18" t="n">
        <f aca="false">($B$4)*(1+B7)</f>
        <v>505</v>
      </c>
      <c r="C25" s="18" t="n">
        <f aca="false">($B$4)*(1+C7)</f>
        <v>485</v>
      </c>
    </row>
    <row r="26" customFormat="false" ht="15" hidden="false" customHeight="false" outlineLevel="0" collapsed="false">
      <c r="A26" s="15" t="n">
        <v>2</v>
      </c>
      <c r="B26" s="18" t="n">
        <f aca="false">(B25+$B$4)*(1+B8)</f>
        <v>1015.05</v>
      </c>
      <c r="C26" s="18" t="n">
        <f aca="false">(C25+$B$4)*(1+C8)</f>
        <v>965.3</v>
      </c>
    </row>
    <row r="27" customFormat="false" ht="15" hidden="false" customHeight="false" outlineLevel="0" collapsed="false">
      <c r="A27" s="15" t="n">
        <v>3</v>
      </c>
      <c r="B27" s="18" t="n">
        <f aca="false">(B26+$B$4)*(1+B9)</f>
        <v>1530.2005</v>
      </c>
      <c r="C27" s="18" t="n">
        <f aca="false">(C26+$B$4)*(1+C9)</f>
        <v>1479.953</v>
      </c>
    </row>
    <row r="28" customFormat="false" ht="15" hidden="false" customHeight="false" outlineLevel="0" collapsed="false">
      <c r="A28" s="15" t="n">
        <v>4</v>
      </c>
      <c r="B28" s="18" t="n">
        <f aca="false">(B27+$B$4)*(1+B10)</f>
        <v>2050.502505</v>
      </c>
      <c r="C28" s="18" t="n">
        <f aca="false">(C27+$B$4)*(1+C10)</f>
        <v>2019.55206</v>
      </c>
    </row>
    <row r="29" customFormat="false" ht="15" hidden="false" customHeight="false" outlineLevel="0" collapsed="false">
      <c r="A29" s="15" t="n">
        <v>5</v>
      </c>
      <c r="B29" s="18" t="n">
        <f aca="false">(B28+$B$4)*(1+B11)</f>
        <v>2576.00753005</v>
      </c>
      <c r="C29" s="18" t="n">
        <f aca="false">(C28+$B$4)*(1+C11)</f>
        <v>2557.3453409</v>
      </c>
    </row>
    <row r="30" customFormat="false" ht="15" hidden="false" customHeight="false" outlineLevel="0" collapsed="false">
      <c r="A30" s="15" t="n">
        <v>6</v>
      </c>
      <c r="B30" s="18" t="n">
        <f aca="false">(B29+$B$4)*(1+B12)</f>
        <v>3106.7676053505</v>
      </c>
      <c r="C30" s="18" t="n">
        <f aca="false">(C29+$B$4)*(1+C12)</f>
        <v>3087.918794309</v>
      </c>
    </row>
    <row r="31" customFormat="false" ht="15" hidden="false" customHeight="false" outlineLevel="0" collapsed="false">
      <c r="A31" s="15" t="n">
        <v>7</v>
      </c>
      <c r="B31" s="18" t="n">
        <f aca="false">(B30+$B$4)*(1+B13)</f>
        <v>3642.83528140401</v>
      </c>
      <c r="C31" s="18" t="n">
        <f aca="false">(C30+$B$4)*(1+C13)</f>
        <v>3659.67717019518</v>
      </c>
    </row>
    <row r="32" customFormat="false" ht="15" hidden="false" customHeight="false" outlineLevel="0" collapsed="false">
      <c r="A32" s="15" t="n">
        <v>8</v>
      </c>
      <c r="B32" s="18" t="n">
        <f aca="false">(B31+$B$4)*(1+B14)</f>
        <v>4184.26363421805</v>
      </c>
      <c r="C32" s="18" t="n">
        <f aca="false">(C31+$B$4)*(1+C14)</f>
        <v>4242.87071359908</v>
      </c>
    </row>
    <row r="33" customFormat="false" ht="15" hidden="false" customHeight="false" outlineLevel="0" collapsed="false">
      <c r="A33" s="15" t="n">
        <v>9</v>
      </c>
      <c r="B33" s="18" t="n">
        <f aca="false">(B32+$B$4)*(1+B15)</f>
        <v>4731.10627056023</v>
      </c>
      <c r="C33" s="18" t="n">
        <f aca="false">(C32+$B$4)*(1+C15)</f>
        <v>4814.01377430307</v>
      </c>
    </row>
    <row r="34" customFormat="false" ht="15" hidden="false" customHeight="false" outlineLevel="0" collapsed="false">
      <c r="A34" s="15" t="n">
        <v>10</v>
      </c>
      <c r="B34" s="18" t="n">
        <f aca="false">(B33+$B$4)*(1+B16)</f>
        <v>5283.41733326583</v>
      </c>
      <c r="C34" s="18" t="n">
        <f aca="false">(C33+$B$4)*(1+C16)</f>
        <v>5367.1539120461</v>
      </c>
    </row>
    <row r="35" customFormat="false" ht="15" hidden="false" customHeight="false" outlineLevel="0" collapsed="false">
      <c r="A35" s="15" t="n">
        <v>11</v>
      </c>
      <c r="B35" s="18" t="n">
        <f aca="false">(B34+$B$4)*(1+B17)</f>
        <v>5841.25150659849</v>
      </c>
      <c r="C35" s="18" t="n">
        <f aca="false">(C34+$B$4)*(1+C17)</f>
        <v>5925.82545116656</v>
      </c>
    </row>
    <row r="36" customFormat="false" ht="15" hidden="false" customHeight="false" outlineLevel="0" collapsed="false">
      <c r="A36" s="15" t="n">
        <v>12</v>
      </c>
      <c r="B36" s="18" t="n">
        <f aca="false">(B35+$B$4)*(1+B18)</f>
        <v>6404.66402166447</v>
      </c>
      <c r="C36" s="18" t="n">
        <f aca="false">(C35+$B$4)*(1+C18)</f>
        <v>6554.34196018989</v>
      </c>
    </row>
    <row r="38" customFormat="false" ht="15" hidden="false" customHeight="false" outlineLevel="0" collapsed="false">
      <c r="A38" s="4" t="s">
        <v>250</v>
      </c>
    </row>
    <row r="39" customFormat="false" ht="26.85" hidden="false" customHeight="false" outlineLevel="0" collapsed="false">
      <c r="A39" s="14" t="s">
        <v>251</v>
      </c>
      <c r="B39" s="14" t="s">
        <v>252</v>
      </c>
      <c r="C39" s="14" t="s">
        <v>253</v>
      </c>
      <c r="D39" s="14" t="s">
        <v>254</v>
      </c>
    </row>
    <row r="40" customFormat="false" ht="15" hidden="false" customHeight="false" outlineLevel="0" collapsed="false">
      <c r="A40" s="15" t="s">
        <v>255</v>
      </c>
      <c r="B40" s="51" t="n">
        <f aca="false">B20</f>
        <v>6760.95018079182</v>
      </c>
      <c r="C40" s="51" t="n">
        <f aca="false">B36</f>
        <v>6404.66402166447</v>
      </c>
      <c r="D40" s="37" t="n">
        <f aca="false">B40-C40</f>
        <v>356.28615912735</v>
      </c>
    </row>
    <row r="41" customFormat="false" ht="15" hidden="false" customHeight="false" outlineLevel="0" collapsed="false">
      <c r="A41" s="15" t="s">
        <v>256</v>
      </c>
      <c r="B41" s="51" t="n">
        <f aca="false">B21</f>
        <v>6618.61816668849</v>
      </c>
      <c r="C41" s="51" t="n">
        <f aca="false">C36</f>
        <v>6554.34196018989</v>
      </c>
      <c r="D41" s="37" t="n">
        <f aca="false">B41-C41</f>
        <v>64.2762064985955</v>
      </c>
    </row>
  </sheetData>
  <mergeCells count="2">
    <mergeCell ref="A1:D1"/>
    <mergeCell ref="C3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6"/>
  </cols>
  <sheetData>
    <row r="1" customFormat="false" ht="17.35" hidden="false" customHeight="false" outlineLevel="0" collapsed="false">
      <c r="A1" s="2" t="s">
        <v>257</v>
      </c>
      <c r="B1" s="2"/>
      <c r="C1" s="2"/>
      <c r="D1" s="2"/>
      <c r="E1" s="2"/>
    </row>
    <row r="3" customFormat="false" ht="15" hidden="false" customHeight="false" outlineLevel="0" collapsed="false">
      <c r="A3" s="1" t="s">
        <v>227</v>
      </c>
      <c r="B3" s="12" t="n">
        <v>1000000</v>
      </c>
    </row>
    <row r="4" customFormat="false" ht="15" hidden="false" customHeight="false" outlineLevel="0" collapsed="false">
      <c r="A4" s="53" t="s">
        <v>258</v>
      </c>
      <c r="B4" s="12" t="n">
        <v>45000</v>
      </c>
    </row>
    <row r="5" customFormat="false" ht="15" hidden="false" customHeight="false" outlineLevel="0" collapsed="false">
      <c r="A5" s="53"/>
    </row>
    <row r="7" customFormat="false" ht="39.55" hidden="false" customHeight="false" outlineLevel="0" collapsed="false">
      <c r="A7" s="14" t="s">
        <v>259</v>
      </c>
      <c r="B7" s="14" t="s">
        <v>260</v>
      </c>
      <c r="C7" s="14" t="s">
        <v>261</v>
      </c>
      <c r="D7" s="14" t="s">
        <v>262</v>
      </c>
      <c r="E7" s="14" t="s">
        <v>263</v>
      </c>
    </row>
    <row r="8" customFormat="false" ht="15" hidden="false" customHeight="false" outlineLevel="0" collapsed="false">
      <c r="A8" s="15" t="n">
        <v>0</v>
      </c>
      <c r="B8" s="22"/>
      <c r="C8" s="18" t="n">
        <f aca="false">$B$3</f>
        <v>1000000</v>
      </c>
      <c r="D8" s="22"/>
      <c r="E8" s="18" t="n">
        <f aca="false">$B$3</f>
        <v>1000000</v>
      </c>
    </row>
    <row r="9" customFormat="false" ht="15" hidden="false" customHeight="false" outlineLevel="0" collapsed="false">
      <c r="A9" s="15" t="n">
        <v>1</v>
      </c>
      <c r="B9" s="20" t="n">
        <v>-0.2</v>
      </c>
      <c r="C9" s="18" t="n">
        <f aca="false">MAX(0,C8*(1+B9)-$B$4)</f>
        <v>755000</v>
      </c>
      <c r="D9" s="20" t="n">
        <v>0.12</v>
      </c>
      <c r="E9" s="18" t="n">
        <f aca="false">MAX(0,E8*(1+D9)-$B$4)</f>
        <v>1075000</v>
      </c>
    </row>
    <row r="10" customFormat="false" ht="15" hidden="false" customHeight="false" outlineLevel="0" collapsed="false">
      <c r="A10" s="15" t="n">
        <v>2</v>
      </c>
      <c r="B10" s="20" t="n">
        <v>-0.15</v>
      </c>
      <c r="C10" s="18" t="n">
        <f aca="false">MAX(0,C9*(1+B10)-$B$4)</f>
        <v>596750</v>
      </c>
      <c r="D10" s="20" t="n">
        <v>0.1</v>
      </c>
      <c r="E10" s="18" t="n">
        <f aca="false">MAX(0,E9*(1+D10)-$B$4)</f>
        <v>1137500</v>
      </c>
    </row>
    <row r="11" customFormat="false" ht="15" hidden="false" customHeight="false" outlineLevel="0" collapsed="false">
      <c r="A11" s="15" t="n">
        <v>3</v>
      </c>
      <c r="B11" s="20" t="n">
        <v>0.12</v>
      </c>
      <c r="C11" s="18" t="n">
        <f aca="false">MAX(0,C10*(1+B11)-$B$4)</f>
        <v>623360</v>
      </c>
      <c r="D11" s="20" t="n">
        <v>0.08</v>
      </c>
      <c r="E11" s="18" t="n">
        <f aca="false">MAX(0,E10*(1+D11)-$B$4)</f>
        <v>1183500</v>
      </c>
    </row>
    <row r="12" customFormat="false" ht="15" hidden="false" customHeight="false" outlineLevel="0" collapsed="false">
      <c r="A12" s="15" t="n">
        <v>4</v>
      </c>
      <c r="B12" s="20" t="n">
        <v>0.1</v>
      </c>
      <c r="C12" s="18" t="n">
        <f aca="false">MAX(0,C11*(1+B12)-$B$4)</f>
        <v>640696</v>
      </c>
      <c r="D12" s="20" t="n">
        <v>0.06</v>
      </c>
      <c r="E12" s="18" t="n">
        <f aca="false">MAX(0,E11*(1+D12)-$B$4)</f>
        <v>1209510</v>
      </c>
    </row>
    <row r="13" customFormat="false" ht="15" hidden="false" customHeight="false" outlineLevel="0" collapsed="false">
      <c r="A13" s="15" t="n">
        <v>5</v>
      </c>
      <c r="B13" s="20" t="n">
        <v>0.08</v>
      </c>
      <c r="C13" s="18" t="n">
        <f aca="false">MAX(0,C12*(1+B13)-$B$4)</f>
        <v>646951.68</v>
      </c>
      <c r="D13" s="20" t="n">
        <v>0.07</v>
      </c>
      <c r="E13" s="18" t="n">
        <f aca="false">MAX(0,E12*(1+D13)-$B$4)</f>
        <v>1249175.7</v>
      </c>
    </row>
    <row r="14" customFormat="false" ht="15" hidden="false" customHeight="false" outlineLevel="0" collapsed="false">
      <c r="A14" s="15" t="n">
        <v>6</v>
      </c>
      <c r="B14" s="20" t="n">
        <v>0.06</v>
      </c>
      <c r="C14" s="18" t="n">
        <f aca="false">MAX(0,C13*(1+B14)-$B$4)</f>
        <v>640768.7808</v>
      </c>
      <c r="D14" s="20" t="n">
        <v>0.09</v>
      </c>
      <c r="E14" s="18" t="n">
        <f aca="false">MAX(0,E13*(1+D14)-$B$4)</f>
        <v>1316601.513</v>
      </c>
    </row>
    <row r="15" customFormat="false" ht="15" hidden="false" customHeight="false" outlineLevel="0" collapsed="false">
      <c r="A15" s="15" t="n">
        <v>7</v>
      </c>
      <c r="B15" s="20" t="n">
        <v>0.07</v>
      </c>
      <c r="C15" s="18" t="n">
        <f aca="false">MAX(0,C14*(1+B15)-$B$4)</f>
        <v>640622.595456</v>
      </c>
      <c r="D15" s="20" t="n">
        <v>0.05</v>
      </c>
      <c r="E15" s="18" t="n">
        <f aca="false">MAX(0,E14*(1+D15)-$B$4)</f>
        <v>1337431.58865</v>
      </c>
    </row>
    <row r="16" customFormat="false" ht="15" hidden="false" customHeight="false" outlineLevel="0" collapsed="false">
      <c r="A16" s="15" t="n">
        <v>8</v>
      </c>
      <c r="B16" s="20" t="n">
        <v>0.09</v>
      </c>
      <c r="C16" s="18" t="n">
        <f aca="false">MAX(0,C15*(1+B16)-$B$4)</f>
        <v>653278.629047041</v>
      </c>
      <c r="D16" s="20" t="n">
        <v>0.11</v>
      </c>
      <c r="E16" s="18" t="n">
        <f aca="false">MAX(0,E15*(1+D16)-$B$4)</f>
        <v>1439549.0634015</v>
      </c>
    </row>
    <row r="17" customFormat="false" ht="15" hidden="false" customHeight="false" outlineLevel="0" collapsed="false">
      <c r="A17" s="15" t="n">
        <v>9</v>
      </c>
      <c r="B17" s="20" t="n">
        <v>0.05</v>
      </c>
      <c r="C17" s="18" t="n">
        <f aca="false">MAX(0,C16*(1+B17)-$B$4)</f>
        <v>640942.560499393</v>
      </c>
      <c r="D17" s="20" t="n">
        <v>-0.2</v>
      </c>
      <c r="E17" s="18" t="n">
        <f aca="false">MAX(0,E16*(1+D17)-$B$4)</f>
        <v>1106639.2507212</v>
      </c>
    </row>
    <row r="18" customFormat="false" ht="15" hidden="false" customHeight="false" outlineLevel="0" collapsed="false">
      <c r="A18" s="15" t="n">
        <v>10</v>
      </c>
      <c r="B18" s="20" t="n">
        <v>0.11</v>
      </c>
      <c r="C18" s="18" t="n">
        <f aca="false">MAX(0,C17*(1+B18)-$B$4)</f>
        <v>666446.242154326</v>
      </c>
      <c r="D18" s="20" t="n">
        <v>-0.15</v>
      </c>
      <c r="E18" s="18" t="n">
        <f aca="false">MAX(0,E17*(1+D18)-$B$4)</f>
        <v>895643.36311302</v>
      </c>
    </row>
    <row r="20" customFormat="false" ht="15" hidden="false" customHeight="false" outlineLevel="0" collapsed="false">
      <c r="A20" s="11" t="s">
        <v>264</v>
      </c>
      <c r="B20" s="34" t="n">
        <f aca="false">AVERAGE(B9:B18)</f>
        <v>0.033</v>
      </c>
      <c r="D20" s="34" t="n">
        <f aca="false">AVERAGE(D9:D18)</f>
        <v>0.033</v>
      </c>
    </row>
    <row r="21" customFormat="false" ht="15" hidden="false" customHeight="false" outlineLevel="0" collapsed="false">
      <c r="A21" s="4" t="s">
        <v>265</v>
      </c>
      <c r="C21" s="28" t="n">
        <f aca="false">C18</f>
        <v>666446.242154326</v>
      </c>
    </row>
    <row r="22" customFormat="false" ht="15" hidden="false" customHeight="false" outlineLevel="0" collapsed="false">
      <c r="A22" s="4" t="s">
        <v>266</v>
      </c>
      <c r="E22" s="28" t="n">
        <f aca="false">E18</f>
        <v>895643.36311302</v>
      </c>
    </row>
    <row r="23" customFormat="false" ht="15" hidden="false" customHeight="false" outlineLevel="0" collapsed="false">
      <c r="A23" s="4" t="s">
        <v>267</v>
      </c>
      <c r="C23" s="28" t="n">
        <f aca="false">E18-C18</f>
        <v>229197.120958695</v>
      </c>
    </row>
    <row r="25" customFormat="false" ht="15" hidden="false" customHeight="true" outlineLevel="0" collapsed="false">
      <c r="A25" s="10" t="s">
        <v>268</v>
      </c>
      <c r="B25" s="10"/>
      <c r="C25" s="10"/>
      <c r="D25" s="10"/>
      <c r="E25" s="10"/>
    </row>
    <row r="26" customFormat="false" ht="15" hidden="false" customHeight="false" outlineLevel="0" collapsed="false">
      <c r="A26" s="10"/>
      <c r="B26" s="10"/>
      <c r="C26" s="10"/>
      <c r="D26" s="10"/>
      <c r="E26" s="10"/>
    </row>
    <row r="27" customFormat="false" ht="15" hidden="false" customHeight="false" outlineLevel="0" collapsed="false">
      <c r="A27" s="10"/>
      <c r="B27" s="10"/>
      <c r="C27" s="10"/>
      <c r="D27" s="10"/>
      <c r="E27" s="10"/>
    </row>
  </sheetData>
  <mergeCells count="3">
    <mergeCell ref="A1:E1"/>
    <mergeCell ref="A4:A5"/>
    <mergeCell ref="A25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16"/>
  </cols>
  <sheetData>
    <row r="1" customFormat="false" ht="17.35" hidden="false" customHeight="false" outlineLevel="0" collapsed="false">
      <c r="A1" s="2" t="s">
        <v>269</v>
      </c>
      <c r="B1" s="2"/>
      <c r="C1" s="2"/>
      <c r="D1" s="2"/>
    </row>
    <row r="3" customFormat="false" ht="15" hidden="false" customHeight="false" outlineLevel="0" collapsed="false">
      <c r="A3" s="1" t="s">
        <v>270</v>
      </c>
      <c r="B3" s="12" t="n">
        <v>50000</v>
      </c>
    </row>
    <row r="4" customFormat="false" ht="15" hidden="false" customHeight="false" outlineLevel="0" collapsed="false">
      <c r="A4" s="1" t="s">
        <v>271</v>
      </c>
      <c r="B4" s="12" t="n">
        <v>500</v>
      </c>
    </row>
    <row r="5" customFormat="false" ht="15" hidden="false" customHeight="false" outlineLevel="0" collapsed="false">
      <c r="A5" s="1" t="s">
        <v>272</v>
      </c>
      <c r="B5" s="13" t="n">
        <v>0.08</v>
      </c>
    </row>
    <row r="6" customFormat="false" ht="15" hidden="false" customHeight="false" outlineLevel="0" collapsed="false">
      <c r="A6" s="1" t="s">
        <v>273</v>
      </c>
      <c r="B6" s="54" t="n">
        <f aca="false">(1+B5)^(1/12)-1</f>
        <v>0.00643403011000343</v>
      </c>
    </row>
    <row r="7" customFormat="false" ht="15" hidden="false" customHeight="false" outlineLevel="0" collapsed="false">
      <c r="A7" s="1" t="s">
        <v>274</v>
      </c>
      <c r="B7" s="55" t="n">
        <f aca="false">'P2 - Blended ER'!C22</f>
        <v>0.00095</v>
      </c>
    </row>
    <row r="9" customFormat="false" ht="26.85" hidden="false" customHeight="false" outlineLevel="0" collapsed="false">
      <c r="A9" s="14" t="s">
        <v>242</v>
      </c>
      <c r="B9" s="14" t="s">
        <v>275</v>
      </c>
      <c r="C9" s="14" t="s">
        <v>276</v>
      </c>
      <c r="D9" s="14"/>
    </row>
    <row r="10" customFormat="false" ht="15" hidden="true" customHeight="false" outlineLevel="1" collapsed="false">
      <c r="A10" s="11" t="n">
        <v>1</v>
      </c>
      <c r="B10" s="25" t="n">
        <f aca="false">$B$3*(1+$B$6)+$B$4</f>
        <v>50821.7015055002</v>
      </c>
      <c r="C10" s="25" t="n">
        <f aca="false">$B$3+$B$4</f>
        <v>50500</v>
      </c>
    </row>
    <row r="11" customFormat="false" ht="15" hidden="true" customHeight="false" outlineLevel="1" collapsed="false">
      <c r="A11" s="11" t="n">
        <v>2</v>
      </c>
      <c r="B11" s="25" t="n">
        <f aca="false">B10*(1+$B$6)+$B$4</f>
        <v>51648.6898632282</v>
      </c>
      <c r="C11" s="25" t="n">
        <f aca="false">C10+$B$4</f>
        <v>51000</v>
      </c>
    </row>
    <row r="12" customFormat="false" ht="15" hidden="true" customHeight="false" outlineLevel="1" collapsed="false">
      <c r="A12" s="11" t="n">
        <v>3</v>
      </c>
      <c r="B12" s="25" t="n">
        <f aca="false">B11*(1+$B$6)+$B$4</f>
        <v>52480.9990889504</v>
      </c>
      <c r="C12" s="25" t="n">
        <f aca="false">C11+$B$4</f>
        <v>51500</v>
      </c>
    </row>
    <row r="13" customFormat="false" ht="15" hidden="true" customHeight="false" outlineLevel="1" collapsed="false">
      <c r="A13" s="11" t="n">
        <v>4</v>
      </c>
      <c r="B13" s="25" t="n">
        <f aca="false">B12*(1+$B$6)+$B$4</f>
        <v>53318.6634172918</v>
      </c>
      <c r="C13" s="25" t="n">
        <f aca="false">C12+$B$4</f>
        <v>52000</v>
      </c>
    </row>
    <row r="14" customFormat="false" ht="15" hidden="true" customHeight="false" outlineLevel="1" collapsed="false">
      <c r="A14" s="11" t="n">
        <v>5</v>
      </c>
      <c r="B14" s="25" t="n">
        <f aca="false">B13*(1+$B$6)+$B$4</f>
        <v>54161.7173031438</v>
      </c>
      <c r="C14" s="25" t="n">
        <f aca="false">C13+$B$4</f>
        <v>52500</v>
      </c>
    </row>
    <row r="15" customFormat="false" ht="15" hidden="true" customHeight="false" outlineLevel="1" collapsed="false">
      <c r="A15" s="11" t="n">
        <v>6</v>
      </c>
      <c r="B15" s="25" t="n">
        <f aca="false">B14*(1+$B$6)+$B$4</f>
        <v>55010.1954230817</v>
      </c>
      <c r="C15" s="25" t="n">
        <f aca="false">C14+$B$4</f>
        <v>53000</v>
      </c>
    </row>
    <row r="16" customFormat="false" ht="15" hidden="true" customHeight="false" outlineLevel="1" collapsed="false">
      <c r="A16" s="11" t="n">
        <v>7</v>
      </c>
      <c r="B16" s="25" t="n">
        <f aca="false">B15*(1+$B$6)+$B$4</f>
        <v>55864.132676791</v>
      </c>
      <c r="C16" s="25" t="n">
        <f aca="false">C15+$B$4</f>
        <v>53500</v>
      </c>
    </row>
    <row r="17" customFormat="false" ht="15" hidden="true" customHeight="false" outlineLevel="1" collapsed="false">
      <c r="A17" s="11" t="n">
        <v>8</v>
      </c>
      <c r="B17" s="25" t="n">
        <f aca="false">B16*(1+$B$6)+$B$4</f>
        <v>56723.5641885027</v>
      </c>
      <c r="C17" s="25" t="n">
        <f aca="false">C16+$B$4</f>
        <v>54000</v>
      </c>
    </row>
    <row r="18" customFormat="false" ht="15" hidden="true" customHeight="false" outlineLevel="1" collapsed="false">
      <c r="A18" s="11" t="n">
        <v>9</v>
      </c>
      <c r="B18" s="25" t="n">
        <f aca="false">B17*(1+$B$6)+$B$4</f>
        <v>57588.5253084382</v>
      </c>
      <c r="C18" s="25" t="n">
        <f aca="false">C17+$B$4</f>
        <v>54500</v>
      </c>
    </row>
    <row r="19" customFormat="false" ht="15" hidden="true" customHeight="false" outlineLevel="1" collapsed="false">
      <c r="A19" s="11" t="n">
        <v>10</v>
      </c>
      <c r="B19" s="25" t="n">
        <f aca="false">B18*(1+$B$6)+$B$4</f>
        <v>58459.0516142634</v>
      </c>
      <c r="C19" s="25" t="n">
        <f aca="false">C18+$B$4</f>
        <v>55000</v>
      </c>
    </row>
    <row r="20" customFormat="false" ht="15" hidden="true" customHeight="false" outlineLevel="1" collapsed="false">
      <c r="A20" s="11" t="n">
        <v>11</v>
      </c>
      <c r="B20" s="25" t="n">
        <f aca="false">B19*(1+$B$6)+$B$4</f>
        <v>59335.1789125518</v>
      </c>
      <c r="C20" s="25" t="n">
        <f aca="false">C19+$B$4</f>
        <v>55500</v>
      </c>
    </row>
    <row r="21" customFormat="false" ht="15" hidden="true" customHeight="false" outlineLevel="1" collapsed="false">
      <c r="A21" s="11" t="n">
        <v>12</v>
      </c>
      <c r="B21" s="25" t="n">
        <f aca="false">B20*(1+$B$6)+$B$4</f>
        <v>60216.9432402576</v>
      </c>
      <c r="C21" s="25" t="n">
        <f aca="false">C20+$B$4</f>
        <v>56000</v>
      </c>
    </row>
    <row r="22" customFormat="false" ht="15" hidden="true" customHeight="false" outlineLevel="1" collapsed="false">
      <c r="A22" s="11" t="n">
        <v>13</v>
      </c>
      <c r="B22" s="25" t="n">
        <f aca="false">B21*(1+$B$6)+$B$4</f>
        <v>61104.3808661978</v>
      </c>
      <c r="C22" s="25" t="n">
        <f aca="false">C21+$B$4</f>
        <v>56500</v>
      </c>
    </row>
    <row r="23" customFormat="false" ht="15" hidden="true" customHeight="false" outlineLevel="1" collapsed="false">
      <c r="A23" s="11" t="n">
        <v>14</v>
      </c>
      <c r="B23" s="25" t="n">
        <f aca="false">B22*(1+$B$6)+$B$4</f>
        <v>61997.528292544</v>
      </c>
      <c r="C23" s="25" t="n">
        <f aca="false">C22+$B$4</f>
        <v>57000</v>
      </c>
    </row>
    <row r="24" customFormat="false" ht="15" hidden="true" customHeight="false" outlineLevel="1" collapsed="false">
      <c r="A24" s="11" t="n">
        <v>15</v>
      </c>
      <c r="B24" s="25" t="n">
        <f aca="false">B23*(1+$B$6)+$B$4</f>
        <v>62896.4222563241</v>
      </c>
      <c r="C24" s="25" t="n">
        <f aca="false">C23+$B$4</f>
        <v>57500</v>
      </c>
    </row>
    <row r="25" customFormat="false" ht="15" hidden="true" customHeight="false" outlineLevel="1" collapsed="false">
      <c r="A25" s="11" t="n">
        <v>16</v>
      </c>
      <c r="B25" s="25" t="n">
        <f aca="false">B24*(1+$B$6)+$B$4</f>
        <v>63801.0997309327</v>
      </c>
      <c r="C25" s="25" t="n">
        <f aca="false">C24+$B$4</f>
        <v>58000</v>
      </c>
    </row>
    <row r="26" customFormat="false" ht="15" hidden="true" customHeight="false" outlineLevel="1" collapsed="false">
      <c r="A26" s="11" t="n">
        <v>17</v>
      </c>
      <c r="B26" s="25" t="n">
        <f aca="false">B25*(1+$B$6)+$B$4</f>
        <v>64711.5979276529</v>
      </c>
      <c r="C26" s="25" t="n">
        <f aca="false">C25+$B$4</f>
        <v>58500</v>
      </c>
    </row>
    <row r="27" customFormat="false" ht="15" hidden="true" customHeight="false" outlineLevel="1" collapsed="false">
      <c r="A27" s="11" t="n">
        <v>18</v>
      </c>
      <c r="B27" s="25" t="n">
        <f aca="false">B26*(1+$B$6)+$B$4</f>
        <v>65627.9542971859</v>
      </c>
      <c r="C27" s="25" t="n">
        <f aca="false">C26+$B$4</f>
        <v>59000</v>
      </c>
    </row>
    <row r="28" customFormat="false" ht="15" hidden="true" customHeight="false" outlineLevel="1" collapsed="false">
      <c r="A28" s="11" t="n">
        <v>19</v>
      </c>
      <c r="B28" s="25" t="n">
        <f aca="false">B27*(1+$B$6)+$B$4</f>
        <v>66550.2065311919</v>
      </c>
      <c r="C28" s="25" t="n">
        <f aca="false">C27+$B$4</f>
        <v>59500</v>
      </c>
    </row>
    <row r="29" customFormat="false" ht="15" hidden="true" customHeight="false" outlineLevel="1" collapsed="false">
      <c r="A29" s="11" t="n">
        <v>20</v>
      </c>
      <c r="B29" s="25" t="n">
        <f aca="false">B28*(1+$B$6)+$B$4</f>
        <v>67478.3925638405</v>
      </c>
      <c r="C29" s="25" t="n">
        <f aca="false">C28+$B$4</f>
        <v>60000</v>
      </c>
    </row>
    <row r="30" customFormat="false" ht="15" hidden="true" customHeight="false" outlineLevel="1" collapsed="false">
      <c r="A30" s="11" t="n">
        <v>21</v>
      </c>
      <c r="B30" s="25" t="n">
        <f aca="false">B29*(1+$B$6)+$B$4</f>
        <v>68412.5505733709</v>
      </c>
      <c r="C30" s="25" t="n">
        <f aca="false">C29+$B$4</f>
        <v>60500</v>
      </c>
    </row>
    <row r="31" customFormat="false" ht="15" hidden="true" customHeight="false" outlineLevel="1" collapsed="false">
      <c r="A31" s="11" t="n">
        <v>22</v>
      </c>
      <c r="B31" s="25" t="n">
        <f aca="false">B30*(1+$B$6)+$B$4</f>
        <v>69352.7189836621</v>
      </c>
      <c r="C31" s="25" t="n">
        <f aca="false">C30+$B$4</f>
        <v>61000</v>
      </c>
    </row>
    <row r="32" customFormat="false" ht="15" hidden="true" customHeight="false" outlineLevel="1" collapsed="false">
      <c r="A32" s="11" t="n">
        <v>23</v>
      </c>
      <c r="B32" s="25" t="n">
        <f aca="false">B31*(1+$B$6)+$B$4</f>
        <v>70298.9364658136</v>
      </c>
      <c r="C32" s="25" t="n">
        <f aca="false">C31+$B$4</f>
        <v>61500</v>
      </c>
    </row>
    <row r="33" customFormat="false" ht="15" hidden="true" customHeight="false" outlineLevel="1" collapsed="false">
      <c r="A33" s="11" t="n">
        <v>24</v>
      </c>
      <c r="B33" s="25" t="n">
        <f aca="false">B32*(1+$B$6)+$B$4</f>
        <v>71251.2419397358</v>
      </c>
      <c r="C33" s="25" t="n">
        <f aca="false">C32+$B$4</f>
        <v>62000</v>
      </c>
    </row>
    <row r="34" customFormat="false" ht="15" hidden="true" customHeight="false" outlineLevel="1" collapsed="false">
      <c r="A34" s="11" t="n">
        <v>25</v>
      </c>
      <c r="B34" s="25" t="n">
        <f aca="false">B33*(1+$B$6)+$B$4</f>
        <v>72209.6745757512</v>
      </c>
      <c r="C34" s="25" t="n">
        <f aca="false">C33+$B$4</f>
        <v>62500</v>
      </c>
    </row>
    <row r="35" customFormat="false" ht="15" hidden="true" customHeight="false" outlineLevel="1" collapsed="false">
      <c r="A35" s="11" t="n">
        <v>26</v>
      </c>
      <c r="B35" s="25" t="n">
        <f aca="false">B34*(1+$B$6)+$B$4</f>
        <v>73174.2737962052</v>
      </c>
      <c r="C35" s="25" t="n">
        <f aca="false">C34+$B$4</f>
        <v>63000</v>
      </c>
    </row>
    <row r="36" customFormat="false" ht="15" hidden="true" customHeight="false" outlineLevel="1" collapsed="false">
      <c r="A36" s="11" t="n">
        <v>27</v>
      </c>
      <c r="B36" s="25" t="n">
        <f aca="false">B35*(1+$B$6)+$B$4</f>
        <v>74145.0792770876</v>
      </c>
      <c r="C36" s="25" t="n">
        <f aca="false">C35+$B$4</f>
        <v>63500</v>
      </c>
    </row>
    <row r="37" customFormat="false" ht="15" hidden="true" customHeight="false" outlineLevel="1" collapsed="false">
      <c r="A37" s="11" t="n">
        <v>28</v>
      </c>
      <c r="B37" s="25" t="n">
        <f aca="false">B36*(1+$B$6)+$B$4</f>
        <v>75122.130949665</v>
      </c>
      <c r="C37" s="25" t="n">
        <f aca="false">C36+$B$4</f>
        <v>64000</v>
      </c>
    </row>
    <row r="38" customFormat="false" ht="15" hidden="true" customHeight="false" outlineLevel="1" collapsed="false">
      <c r="A38" s="11" t="n">
        <v>29</v>
      </c>
      <c r="B38" s="25" t="n">
        <f aca="false">B37*(1+$B$6)+$B$4</f>
        <v>76105.4690021227</v>
      </c>
      <c r="C38" s="25" t="n">
        <f aca="false">C37+$B$4</f>
        <v>64500</v>
      </c>
    </row>
    <row r="39" customFormat="false" ht="15" hidden="true" customHeight="false" outlineLevel="1" collapsed="false">
      <c r="A39" s="11" t="n">
        <v>30</v>
      </c>
      <c r="B39" s="25" t="n">
        <f aca="false">B38*(1+$B$6)+$B$4</f>
        <v>77095.1338812183</v>
      </c>
      <c r="C39" s="25" t="n">
        <f aca="false">C38+$B$4</f>
        <v>65000</v>
      </c>
    </row>
    <row r="40" customFormat="false" ht="15" hidden="true" customHeight="false" outlineLevel="1" collapsed="false">
      <c r="A40" s="11" t="n">
        <v>31</v>
      </c>
      <c r="B40" s="25" t="n">
        <f aca="false">B39*(1+$B$6)+$B$4</f>
        <v>78091.1662939448</v>
      </c>
      <c r="C40" s="25" t="n">
        <f aca="false">C39+$B$4</f>
        <v>65500</v>
      </c>
    </row>
    <row r="41" customFormat="false" ht="15" hidden="true" customHeight="false" outlineLevel="1" collapsed="false">
      <c r="A41" s="11" t="n">
        <v>32</v>
      </c>
      <c r="B41" s="25" t="n">
        <f aca="false">B40*(1+$B$6)+$B$4</f>
        <v>79093.6072092054</v>
      </c>
      <c r="C41" s="25" t="n">
        <f aca="false">C40+$B$4</f>
        <v>66000</v>
      </c>
    </row>
    <row r="42" customFormat="false" ht="15" hidden="true" customHeight="false" outlineLevel="1" collapsed="false">
      <c r="A42" s="11" t="n">
        <v>33</v>
      </c>
      <c r="B42" s="25" t="n">
        <f aca="false">B41*(1+$B$6)+$B$4</f>
        <v>80102.4978594982</v>
      </c>
      <c r="C42" s="25" t="n">
        <f aca="false">C41+$B$4</f>
        <v>66500</v>
      </c>
    </row>
    <row r="43" customFormat="false" ht="15" hidden="true" customHeight="false" outlineLevel="1" collapsed="false">
      <c r="A43" s="11" t="n">
        <v>34</v>
      </c>
      <c r="B43" s="25" t="n">
        <f aca="false">B42*(1+$B$6)+$B$4</f>
        <v>81117.8797426127</v>
      </c>
      <c r="C43" s="25" t="n">
        <f aca="false">C42+$B$4</f>
        <v>67000</v>
      </c>
    </row>
    <row r="44" customFormat="false" ht="15" hidden="true" customHeight="false" outlineLevel="1" collapsed="false">
      <c r="A44" s="11" t="n">
        <v>35</v>
      </c>
      <c r="B44" s="25" t="n">
        <f aca="false">B43*(1+$B$6)+$B$4</f>
        <v>82139.7946233363</v>
      </c>
      <c r="C44" s="25" t="n">
        <f aca="false">C43+$B$4</f>
        <v>67500</v>
      </c>
    </row>
    <row r="45" customFormat="false" ht="15" hidden="true" customHeight="false" outlineLevel="1" collapsed="false">
      <c r="A45" s="11" t="n">
        <v>36</v>
      </c>
      <c r="B45" s="25" t="n">
        <f aca="false">B44*(1+$B$6)+$B$4</f>
        <v>83168.2845351723</v>
      </c>
      <c r="C45" s="25" t="n">
        <f aca="false">C44+$B$4</f>
        <v>68000</v>
      </c>
    </row>
    <row r="46" customFormat="false" ht="15" hidden="true" customHeight="false" outlineLevel="1" collapsed="false">
      <c r="A46" s="11" t="n">
        <v>37</v>
      </c>
      <c r="B46" s="25" t="n">
        <f aca="false">B45*(1+$B$6)+$B$4</f>
        <v>84203.391782069</v>
      </c>
      <c r="C46" s="25" t="n">
        <f aca="false">C45+$B$4</f>
        <v>68500</v>
      </c>
    </row>
    <row r="47" customFormat="false" ht="15" hidden="true" customHeight="false" outlineLevel="1" collapsed="false">
      <c r="A47" s="11" t="n">
        <v>38</v>
      </c>
      <c r="B47" s="25" t="n">
        <f aca="false">B46*(1+$B$6)+$B$4</f>
        <v>85245.1589401592</v>
      </c>
      <c r="C47" s="25" t="n">
        <f aca="false">C46+$B$4</f>
        <v>69000</v>
      </c>
    </row>
    <row r="48" customFormat="false" ht="15" hidden="true" customHeight="false" outlineLevel="1" collapsed="false">
      <c r="A48" s="11" t="n">
        <v>39</v>
      </c>
      <c r="B48" s="25" t="n">
        <f aca="false">B47*(1+$B$6)+$B$4</f>
        <v>86293.6288595122</v>
      </c>
      <c r="C48" s="25" t="n">
        <f aca="false">C47+$B$4</f>
        <v>69500</v>
      </c>
    </row>
    <row r="49" customFormat="false" ht="15" hidden="true" customHeight="false" outlineLevel="1" collapsed="false">
      <c r="A49" s="11" t="n">
        <v>40</v>
      </c>
      <c r="B49" s="25" t="n">
        <f aca="false">B48*(1+$B$6)+$B$4</f>
        <v>87348.8446658958</v>
      </c>
      <c r="C49" s="25" t="n">
        <f aca="false">C48+$B$4</f>
        <v>70000</v>
      </c>
    </row>
    <row r="50" customFormat="false" ht="15" hidden="true" customHeight="false" outlineLevel="1" collapsed="false">
      <c r="A50" s="11" t="n">
        <v>41</v>
      </c>
      <c r="B50" s="25" t="n">
        <f aca="false">B49*(1+$B$6)+$B$4</f>
        <v>88410.8497625502</v>
      </c>
      <c r="C50" s="25" t="n">
        <f aca="false">C49+$B$4</f>
        <v>70500</v>
      </c>
    </row>
    <row r="51" customFormat="false" ht="15" hidden="true" customHeight="false" outlineLevel="1" collapsed="false">
      <c r="A51" s="11" t="n">
        <v>42</v>
      </c>
      <c r="B51" s="25" t="n">
        <f aca="false">B50*(1+$B$6)+$B$4</f>
        <v>89479.6878319734</v>
      </c>
      <c r="C51" s="25" t="n">
        <f aca="false">C50+$B$4</f>
        <v>71000</v>
      </c>
    </row>
    <row r="52" customFormat="false" ht="15" hidden="true" customHeight="false" outlineLevel="1" collapsed="false">
      <c r="A52" s="11" t="n">
        <v>43</v>
      </c>
      <c r="B52" s="25" t="n">
        <f aca="false">B51*(1+$B$6)+$B$4</f>
        <v>90555.402837718</v>
      </c>
      <c r="C52" s="25" t="n">
        <f aca="false">C51+$B$4</f>
        <v>71500</v>
      </c>
    </row>
    <row r="53" customFormat="false" ht="15" hidden="true" customHeight="false" outlineLevel="1" collapsed="false">
      <c r="A53" s="11" t="n">
        <v>44</v>
      </c>
      <c r="B53" s="25" t="n">
        <f aca="false">B52*(1+$B$6)+$B$4</f>
        <v>91638.0390261994</v>
      </c>
      <c r="C53" s="25" t="n">
        <f aca="false">C52+$B$4</f>
        <v>72000</v>
      </c>
    </row>
    <row r="54" customFormat="false" ht="15" hidden="true" customHeight="false" outlineLevel="1" collapsed="false">
      <c r="A54" s="11" t="n">
        <v>45</v>
      </c>
      <c r="B54" s="25" t="n">
        <f aca="false">B53*(1+$B$6)+$B$4</f>
        <v>92727.6409285156</v>
      </c>
      <c r="C54" s="25" t="n">
        <f aca="false">C53+$B$4</f>
        <v>72500</v>
      </c>
    </row>
    <row r="55" customFormat="false" ht="15" hidden="true" customHeight="false" outlineLevel="1" collapsed="false">
      <c r="A55" s="11" t="n">
        <v>46</v>
      </c>
      <c r="B55" s="25" t="n">
        <f aca="false">B54*(1+$B$6)+$B$4</f>
        <v>93824.2533622793</v>
      </c>
      <c r="C55" s="25" t="n">
        <f aca="false">C54+$B$4</f>
        <v>73000</v>
      </c>
    </row>
    <row r="56" customFormat="false" ht="15" hidden="true" customHeight="false" outlineLevel="1" collapsed="false">
      <c r="A56" s="11" t="n">
        <v>47</v>
      </c>
      <c r="B56" s="25" t="n">
        <f aca="false">B55*(1+$B$6)+$B$4</f>
        <v>94927.9214334608</v>
      </c>
      <c r="C56" s="25" t="n">
        <f aca="false">C55+$B$4</f>
        <v>73500</v>
      </c>
    </row>
    <row r="57" customFormat="false" ht="15" hidden="true" customHeight="false" outlineLevel="1" collapsed="false">
      <c r="A57" s="11" t="n">
        <v>48</v>
      </c>
      <c r="B57" s="25" t="n">
        <f aca="false">B56*(1+$B$6)+$B$4</f>
        <v>96038.6905382437</v>
      </c>
      <c r="C57" s="25" t="n">
        <f aca="false">C56+$B$4</f>
        <v>74000</v>
      </c>
    </row>
    <row r="58" customFormat="false" ht="15" hidden="true" customHeight="false" outlineLevel="1" collapsed="false">
      <c r="A58" s="11" t="n">
        <v>49</v>
      </c>
      <c r="B58" s="25" t="n">
        <f aca="false">B57*(1+$B$6)+$B$4</f>
        <v>97156.6063648921</v>
      </c>
      <c r="C58" s="25" t="n">
        <f aca="false">C57+$B$4</f>
        <v>74500</v>
      </c>
    </row>
    <row r="59" customFormat="false" ht="15" hidden="true" customHeight="false" outlineLevel="1" collapsed="false">
      <c r="A59" s="11" t="n">
        <v>50</v>
      </c>
      <c r="B59" s="25" t="n">
        <f aca="false">B58*(1+$B$6)+$B$4</f>
        <v>98281.7148956295</v>
      </c>
      <c r="C59" s="25" t="n">
        <f aca="false">C58+$B$4</f>
        <v>75000</v>
      </c>
    </row>
    <row r="60" customFormat="false" ht="15" hidden="true" customHeight="false" outlineLevel="1" collapsed="false">
      <c r="A60" s="11" t="n">
        <v>51</v>
      </c>
      <c r="B60" s="25" t="n">
        <f aca="false">B59*(1+$B$6)+$B$4</f>
        <v>99414.0624085308</v>
      </c>
      <c r="C60" s="25" t="n">
        <f aca="false">C59+$B$4</f>
        <v>75500</v>
      </c>
    </row>
    <row r="61" customFormat="false" ht="15" hidden="true" customHeight="false" outlineLevel="1" collapsed="false">
      <c r="A61" s="11" t="n">
        <v>52</v>
      </c>
      <c r="B61" s="25" t="n">
        <f aca="false">B60*(1+$B$6)+$B$4</f>
        <v>100553.695479425</v>
      </c>
      <c r="C61" s="25" t="n">
        <f aca="false">C60+$B$4</f>
        <v>76000</v>
      </c>
    </row>
    <row r="62" customFormat="false" ht="15" hidden="true" customHeight="false" outlineLevel="1" collapsed="false">
      <c r="A62" s="11" t="n">
        <v>53</v>
      </c>
      <c r="B62" s="25" t="n">
        <f aca="false">B61*(1+$B$6)+$B$4</f>
        <v>101700.660983812</v>
      </c>
      <c r="C62" s="25" t="n">
        <f aca="false">C61+$B$4</f>
        <v>76500</v>
      </c>
    </row>
    <row r="63" customFormat="false" ht="15" hidden="true" customHeight="false" outlineLevel="1" collapsed="false">
      <c r="A63" s="11" t="n">
        <v>54</v>
      </c>
      <c r="B63" s="25" t="n">
        <f aca="false">B62*(1+$B$6)+$B$4</f>
        <v>102855.006098789</v>
      </c>
      <c r="C63" s="25" t="n">
        <f aca="false">C62+$B$4</f>
        <v>77000</v>
      </c>
    </row>
    <row r="64" customFormat="false" ht="15" hidden="true" customHeight="false" outlineLevel="1" collapsed="false">
      <c r="A64" s="11" t="n">
        <v>55</v>
      </c>
      <c r="B64" s="25" t="n">
        <f aca="false">B63*(1+$B$6)+$B$4</f>
        <v>104016.778304993</v>
      </c>
      <c r="C64" s="25" t="n">
        <f aca="false">C63+$B$4</f>
        <v>77500</v>
      </c>
    </row>
    <row r="65" customFormat="false" ht="15" hidden="true" customHeight="false" outlineLevel="1" collapsed="false">
      <c r="A65" s="11" t="n">
        <v>56</v>
      </c>
      <c r="B65" s="25" t="n">
        <f aca="false">B64*(1+$B$6)+$B$4</f>
        <v>105186.025388553</v>
      </c>
      <c r="C65" s="25" t="n">
        <f aca="false">C64+$B$4</f>
        <v>78000</v>
      </c>
    </row>
    <row r="66" customFormat="false" ht="15" hidden="true" customHeight="false" outlineLevel="1" collapsed="false">
      <c r="A66" s="11" t="n">
        <v>57</v>
      </c>
      <c r="B66" s="25" t="n">
        <f aca="false">B65*(1+$B$6)+$B$4</f>
        <v>106362.795443054</v>
      </c>
      <c r="C66" s="25" t="n">
        <f aca="false">C65+$B$4</f>
        <v>78500</v>
      </c>
    </row>
    <row r="67" customFormat="false" ht="15" hidden="true" customHeight="false" outlineLevel="1" collapsed="false">
      <c r="A67" s="11" t="n">
        <v>58</v>
      </c>
      <c r="B67" s="25" t="n">
        <f aca="false">B66*(1+$B$6)+$B$4</f>
        <v>107547.136871519</v>
      </c>
      <c r="C67" s="25" t="n">
        <f aca="false">C66+$B$4</f>
        <v>79000</v>
      </c>
    </row>
    <row r="68" customFormat="false" ht="15" hidden="true" customHeight="false" outlineLevel="1" collapsed="false">
      <c r="A68" s="11" t="n">
        <v>59</v>
      </c>
      <c r="B68" s="25" t="n">
        <f aca="false">B67*(1+$B$6)+$B$4</f>
        <v>108739.098388395</v>
      </c>
      <c r="C68" s="25" t="n">
        <f aca="false">C67+$B$4</f>
        <v>79500</v>
      </c>
    </row>
    <row r="69" customFormat="false" ht="15" hidden="true" customHeight="false" outlineLevel="1" collapsed="false">
      <c r="A69" s="11" t="n">
        <v>60</v>
      </c>
      <c r="B69" s="25" t="n">
        <f aca="false">B68*(1+$B$6)+$B$4</f>
        <v>109938.729021561</v>
      </c>
      <c r="C69" s="25" t="n">
        <f aca="false">C68+$B$4</f>
        <v>80000</v>
      </c>
    </row>
    <row r="70" customFormat="false" ht="15" hidden="true" customHeight="false" outlineLevel="1" collapsed="false">
      <c r="A70" s="11" t="n">
        <v>61</v>
      </c>
      <c r="B70" s="25" t="n">
        <f aca="false">B69*(1+$B$6)+$B$4</f>
        <v>111146.078114341</v>
      </c>
      <c r="C70" s="25" t="n">
        <f aca="false">C69+$B$4</f>
        <v>80500</v>
      </c>
    </row>
    <row r="71" customFormat="false" ht="15" hidden="true" customHeight="false" outlineLevel="1" collapsed="false">
      <c r="A71" s="11" t="n">
        <v>62</v>
      </c>
      <c r="B71" s="25" t="n">
        <f aca="false">B70*(1+$B$6)+$B$4</f>
        <v>112361.195327538</v>
      </c>
      <c r="C71" s="25" t="n">
        <f aca="false">C70+$B$4</f>
        <v>81000</v>
      </c>
    </row>
    <row r="72" customFormat="false" ht="15" hidden="true" customHeight="false" outlineLevel="1" collapsed="false">
      <c r="A72" s="11" t="n">
        <v>63</v>
      </c>
      <c r="B72" s="25" t="n">
        <f aca="false">B71*(1+$B$6)+$B$4</f>
        <v>113584.130641471</v>
      </c>
      <c r="C72" s="25" t="n">
        <f aca="false">C71+$B$4</f>
        <v>81500</v>
      </c>
    </row>
    <row r="73" customFormat="false" ht="15" hidden="true" customHeight="false" outlineLevel="1" collapsed="false">
      <c r="A73" s="11" t="n">
        <v>64</v>
      </c>
      <c r="B73" s="25" t="n">
        <f aca="false">B72*(1+$B$6)+$B$4</f>
        <v>114814.934358037</v>
      </c>
      <c r="C73" s="25" t="n">
        <f aca="false">C72+$B$4</f>
        <v>82000</v>
      </c>
    </row>
    <row r="74" customFormat="false" ht="15" hidden="true" customHeight="false" outlineLevel="1" collapsed="false">
      <c r="A74" s="11" t="n">
        <v>65</v>
      </c>
      <c r="B74" s="25" t="n">
        <f aca="false">B73*(1+$B$6)+$B$4</f>
        <v>116053.657102774</v>
      </c>
      <c r="C74" s="25" t="n">
        <f aca="false">C73+$B$4</f>
        <v>82500</v>
      </c>
    </row>
    <row r="75" customFormat="false" ht="15" hidden="true" customHeight="false" outlineLevel="1" collapsed="false">
      <c r="A75" s="11" t="n">
        <v>66</v>
      </c>
      <c r="B75" s="25" t="n">
        <f aca="false">B74*(1+$B$6)+$B$4</f>
        <v>117300.34982695</v>
      </c>
      <c r="C75" s="25" t="n">
        <f aca="false">C74+$B$4</f>
        <v>83000</v>
      </c>
    </row>
    <row r="76" customFormat="false" ht="15" hidden="true" customHeight="false" outlineLevel="1" collapsed="false">
      <c r="A76" s="11" t="n">
        <v>67</v>
      </c>
      <c r="B76" s="25" t="n">
        <f aca="false">B75*(1+$B$6)+$B$4</f>
        <v>118555.06380965</v>
      </c>
      <c r="C76" s="25" t="n">
        <f aca="false">C75+$B$4</f>
        <v>83500</v>
      </c>
    </row>
    <row r="77" customFormat="false" ht="15" hidden="true" customHeight="false" outlineLevel="1" collapsed="false">
      <c r="A77" s="11" t="n">
        <v>68</v>
      </c>
      <c r="B77" s="25" t="n">
        <f aca="false">B76*(1+$B$6)+$B$4</f>
        <v>119817.850659895</v>
      </c>
      <c r="C77" s="25" t="n">
        <f aca="false">C76+$B$4</f>
        <v>84000</v>
      </c>
    </row>
    <row r="78" customFormat="false" ht="15" hidden="true" customHeight="false" outlineLevel="1" collapsed="false">
      <c r="A78" s="11" t="n">
        <v>69</v>
      </c>
      <c r="B78" s="25" t="n">
        <f aca="false">B77*(1+$B$6)+$B$4</f>
        <v>121088.762318756</v>
      </c>
      <c r="C78" s="25" t="n">
        <f aca="false">C77+$B$4</f>
        <v>84500</v>
      </c>
    </row>
    <row r="79" customFormat="false" ht="15" hidden="true" customHeight="false" outlineLevel="1" collapsed="false">
      <c r="A79" s="11" t="n">
        <v>70</v>
      </c>
      <c r="B79" s="25" t="n">
        <f aca="false">B78*(1+$B$6)+$B$4</f>
        <v>122367.851061498</v>
      </c>
      <c r="C79" s="25" t="n">
        <f aca="false">C78+$B$4</f>
        <v>85000</v>
      </c>
    </row>
    <row r="80" customFormat="false" ht="15" hidden="true" customHeight="false" outlineLevel="1" collapsed="false">
      <c r="A80" s="11" t="n">
        <v>71</v>
      </c>
      <c r="B80" s="25" t="n">
        <f aca="false">B79*(1+$B$6)+$B$4</f>
        <v>123655.169499724</v>
      </c>
      <c r="C80" s="25" t="n">
        <f aca="false">C79+$B$4</f>
        <v>85500</v>
      </c>
    </row>
    <row r="81" customFormat="false" ht="15" hidden="true" customHeight="false" outlineLevel="1" collapsed="false">
      <c r="A81" s="11" t="n">
        <v>72</v>
      </c>
      <c r="B81" s="25" t="n">
        <f aca="false">B80*(1+$B$6)+$B$4</f>
        <v>124950.770583543</v>
      </c>
      <c r="C81" s="25" t="n">
        <f aca="false">C80+$B$4</f>
        <v>86000</v>
      </c>
    </row>
    <row r="82" customFormat="false" ht="15" hidden="true" customHeight="false" outlineLevel="1" collapsed="false">
      <c r="A82" s="11" t="n">
        <v>73</v>
      </c>
      <c r="B82" s="25" t="n">
        <f aca="false">B81*(1+$B$6)+$B$4</f>
        <v>126254.707603746</v>
      </c>
      <c r="C82" s="25" t="n">
        <f aca="false">C81+$B$4</f>
        <v>86500</v>
      </c>
    </row>
    <row r="83" customFormat="false" ht="15" hidden="true" customHeight="false" outlineLevel="1" collapsed="false">
      <c r="A83" s="11" t="n">
        <v>74</v>
      </c>
      <c r="B83" s="25" t="n">
        <f aca="false">B82*(1+$B$6)+$B$4</f>
        <v>127567.034193998</v>
      </c>
      <c r="C83" s="25" t="n">
        <f aca="false">C82+$B$4</f>
        <v>87000</v>
      </c>
    </row>
    <row r="84" customFormat="false" ht="15" hidden="true" customHeight="false" outlineLevel="1" collapsed="false">
      <c r="A84" s="11" t="n">
        <v>75</v>
      </c>
      <c r="B84" s="25" t="n">
        <f aca="false">B83*(1+$B$6)+$B$4</f>
        <v>128887.804333046</v>
      </c>
      <c r="C84" s="25" t="n">
        <f aca="false">C83+$B$4</f>
        <v>87500</v>
      </c>
    </row>
    <row r="85" customFormat="false" ht="15" hidden="true" customHeight="false" outlineLevel="1" collapsed="false">
      <c r="A85" s="11" t="n">
        <v>76</v>
      </c>
      <c r="B85" s="25" t="n">
        <f aca="false">B84*(1+$B$6)+$B$4</f>
        <v>130217.072346937</v>
      </c>
      <c r="C85" s="25" t="n">
        <f aca="false">C84+$B$4</f>
        <v>88000</v>
      </c>
    </row>
    <row r="86" customFormat="false" ht="15" hidden="true" customHeight="false" outlineLevel="1" collapsed="false">
      <c r="A86" s="11" t="n">
        <v>77</v>
      </c>
      <c r="B86" s="25" t="n">
        <f aca="false">B85*(1+$B$6)+$B$4</f>
        <v>131554.892911254</v>
      </c>
      <c r="C86" s="25" t="n">
        <f aca="false">C85+$B$4</f>
        <v>88500</v>
      </c>
    </row>
    <row r="87" customFormat="false" ht="15" hidden="true" customHeight="false" outlineLevel="1" collapsed="false">
      <c r="A87" s="11" t="n">
        <v>78</v>
      </c>
      <c r="B87" s="25" t="n">
        <f aca="false">B86*(1+$B$6)+$B$4</f>
        <v>132901.321053363</v>
      </c>
      <c r="C87" s="25" t="n">
        <f aca="false">C86+$B$4</f>
        <v>89000</v>
      </c>
    </row>
    <row r="88" customFormat="false" ht="15" hidden="true" customHeight="false" outlineLevel="1" collapsed="false">
      <c r="A88" s="11" t="n">
        <v>79</v>
      </c>
      <c r="B88" s="25" t="n">
        <f aca="false">B87*(1+$B$6)+$B$4</f>
        <v>134256.41215468</v>
      </c>
      <c r="C88" s="25" t="n">
        <f aca="false">C87+$B$4</f>
        <v>89500</v>
      </c>
    </row>
    <row r="89" customFormat="false" ht="15" hidden="true" customHeight="false" outlineLevel="1" collapsed="false">
      <c r="A89" s="11" t="n">
        <v>80</v>
      </c>
      <c r="B89" s="25" t="n">
        <f aca="false">B88*(1+$B$6)+$B$4</f>
        <v>135620.221952944</v>
      </c>
      <c r="C89" s="25" t="n">
        <f aca="false">C88+$B$4</f>
        <v>90000</v>
      </c>
    </row>
    <row r="90" customFormat="false" ht="15" hidden="true" customHeight="false" outlineLevel="1" collapsed="false">
      <c r="A90" s="11" t="n">
        <v>81</v>
      </c>
      <c r="B90" s="25" t="n">
        <f aca="false">B89*(1+$B$6)+$B$4</f>
        <v>136992.806544515</v>
      </c>
      <c r="C90" s="25" t="n">
        <f aca="false">C89+$B$4</f>
        <v>90500</v>
      </c>
    </row>
    <row r="91" customFormat="false" ht="15" hidden="true" customHeight="false" outlineLevel="1" collapsed="false">
      <c r="A91" s="11" t="n">
        <v>82</v>
      </c>
      <c r="B91" s="25" t="n">
        <f aca="false">B90*(1+$B$6)+$B$4</f>
        <v>138374.222386676</v>
      </c>
      <c r="C91" s="25" t="n">
        <f aca="false">C90+$B$4</f>
        <v>91000</v>
      </c>
    </row>
    <row r="92" customFormat="false" ht="15" hidden="true" customHeight="false" outlineLevel="1" collapsed="false">
      <c r="A92" s="11" t="n">
        <v>83</v>
      </c>
      <c r="B92" s="25" t="n">
        <f aca="false">B91*(1+$B$6)+$B$4</f>
        <v>139764.52629996</v>
      </c>
      <c r="C92" s="25" t="n">
        <f aca="false">C91+$B$4</f>
        <v>91500</v>
      </c>
    </row>
    <row r="93" customFormat="false" ht="15" hidden="true" customHeight="false" outlineLevel="1" collapsed="false">
      <c r="A93" s="11" t="n">
        <v>84</v>
      </c>
      <c r="B93" s="25" t="n">
        <f aca="false">B92*(1+$B$6)+$B$4</f>
        <v>141163.775470484</v>
      </c>
      <c r="C93" s="25" t="n">
        <f aca="false">C92+$B$4</f>
        <v>92000</v>
      </c>
    </row>
    <row r="94" customFormat="false" ht="15" hidden="true" customHeight="false" outlineLevel="1" collapsed="false">
      <c r="A94" s="11" t="n">
        <v>85</v>
      </c>
      <c r="B94" s="25" t="n">
        <f aca="false">B93*(1+$B$6)+$B$4</f>
        <v>142572.027452303</v>
      </c>
      <c r="C94" s="25" t="n">
        <f aca="false">C93+$B$4</f>
        <v>92500</v>
      </c>
    </row>
    <row r="95" customFormat="false" ht="15" hidden="true" customHeight="false" outlineLevel="1" collapsed="false">
      <c r="A95" s="11" t="n">
        <v>86</v>
      </c>
      <c r="B95" s="25" t="n">
        <f aca="false">B94*(1+$B$6)+$B$4</f>
        <v>143989.340169776</v>
      </c>
      <c r="C95" s="25" t="n">
        <f aca="false">C94+$B$4</f>
        <v>93000</v>
      </c>
    </row>
    <row r="96" customFormat="false" ht="15" hidden="true" customHeight="false" outlineLevel="1" collapsed="false">
      <c r="A96" s="11" t="n">
        <v>87</v>
      </c>
      <c r="B96" s="25" t="n">
        <f aca="false">B95*(1+$B$6)+$B$4</f>
        <v>145415.771919947</v>
      </c>
      <c r="C96" s="25" t="n">
        <f aca="false">C95+$B$4</f>
        <v>93500</v>
      </c>
    </row>
    <row r="97" customFormat="false" ht="15" hidden="true" customHeight="false" outlineLevel="1" collapsed="false">
      <c r="A97" s="11" t="n">
        <v>88</v>
      </c>
      <c r="B97" s="25" t="n">
        <f aca="false">B96*(1+$B$6)+$B$4</f>
        <v>146851.38137495</v>
      </c>
      <c r="C97" s="25" t="n">
        <f aca="false">C96+$B$4</f>
        <v>94000</v>
      </c>
    </row>
    <row r="98" customFormat="false" ht="15" hidden="true" customHeight="false" outlineLevel="1" collapsed="false">
      <c r="A98" s="11" t="n">
        <v>89</v>
      </c>
      <c r="B98" s="25" t="n">
        <f aca="false">B97*(1+$B$6)+$B$4</f>
        <v>148296.227584412</v>
      </c>
      <c r="C98" s="25" t="n">
        <f aca="false">C97+$B$4</f>
        <v>94500</v>
      </c>
    </row>
    <row r="99" customFormat="false" ht="15" hidden="true" customHeight="false" outlineLevel="1" collapsed="false">
      <c r="A99" s="11" t="n">
        <v>90</v>
      </c>
      <c r="B99" s="25" t="n">
        <f aca="false">B98*(1+$B$6)+$B$4</f>
        <v>149750.36997789</v>
      </c>
      <c r="C99" s="25" t="n">
        <f aca="false">C98+$B$4</f>
        <v>95000</v>
      </c>
    </row>
    <row r="100" customFormat="false" ht="15" hidden="true" customHeight="false" outlineLevel="1" collapsed="false">
      <c r="A100" s="11" t="n">
        <v>91</v>
      </c>
      <c r="B100" s="25" t="n">
        <f aca="false">B99*(1+$B$6)+$B$4</f>
        <v>151213.868367312</v>
      </c>
      <c r="C100" s="25" t="n">
        <f aca="false">C99+$B$4</f>
        <v>95500</v>
      </c>
    </row>
    <row r="101" customFormat="false" ht="15" hidden="true" customHeight="false" outlineLevel="1" collapsed="false">
      <c r="A101" s="11" t="n">
        <v>92</v>
      </c>
      <c r="B101" s="25" t="n">
        <f aca="false">B100*(1+$B$6)+$B$4</f>
        <v>152686.782949437</v>
      </c>
      <c r="C101" s="25" t="n">
        <f aca="false">C100+$B$4</f>
        <v>96000</v>
      </c>
    </row>
    <row r="102" customFormat="false" ht="15" hidden="true" customHeight="false" outlineLevel="1" collapsed="false">
      <c r="A102" s="11" t="n">
        <v>93</v>
      </c>
      <c r="B102" s="25" t="n">
        <f aca="false">B101*(1+$B$6)+$B$4</f>
        <v>154169.174308333</v>
      </c>
      <c r="C102" s="25" t="n">
        <f aca="false">C101+$B$4</f>
        <v>96500</v>
      </c>
    </row>
    <row r="103" customFormat="false" ht="15" hidden="true" customHeight="false" outlineLevel="1" collapsed="false">
      <c r="A103" s="11" t="n">
        <v>94</v>
      </c>
      <c r="B103" s="25" t="n">
        <f aca="false">B102*(1+$B$6)+$B$4</f>
        <v>155661.103417868</v>
      </c>
      <c r="C103" s="25" t="n">
        <f aca="false">C102+$B$4</f>
        <v>97000</v>
      </c>
    </row>
    <row r="104" customFormat="false" ht="15" hidden="true" customHeight="false" outlineLevel="1" collapsed="false">
      <c r="A104" s="11" t="n">
        <v>95</v>
      </c>
      <c r="B104" s="25" t="n">
        <f aca="false">B103*(1+$B$6)+$B$4</f>
        <v>157162.631644214</v>
      </c>
      <c r="C104" s="25" t="n">
        <f aca="false">C103+$B$4</f>
        <v>97500</v>
      </c>
    </row>
    <row r="105" customFormat="false" ht="15" hidden="true" customHeight="false" outlineLevel="1" collapsed="false">
      <c r="A105" s="11" t="n">
        <v>96</v>
      </c>
      <c r="B105" s="25" t="n">
        <f aca="false">B104*(1+$B$6)+$B$4</f>
        <v>158673.820748381</v>
      </c>
      <c r="C105" s="25" t="n">
        <f aca="false">C104+$B$4</f>
        <v>98000</v>
      </c>
    </row>
    <row r="106" customFormat="false" ht="15" hidden="true" customHeight="false" outlineLevel="1" collapsed="false">
      <c r="A106" s="11" t="n">
        <v>97</v>
      </c>
      <c r="B106" s="25" t="n">
        <f aca="false">B105*(1+$B$6)+$B$4</f>
        <v>160194.732888745</v>
      </c>
      <c r="C106" s="25" t="n">
        <f aca="false">C105+$B$4</f>
        <v>98500</v>
      </c>
    </row>
    <row r="107" customFormat="false" ht="15" hidden="true" customHeight="false" outlineLevel="1" collapsed="false">
      <c r="A107" s="11" t="n">
        <v>98</v>
      </c>
      <c r="B107" s="25" t="n">
        <f aca="false">B106*(1+$B$6)+$B$4</f>
        <v>161725.430623615</v>
      </c>
      <c r="C107" s="25" t="n">
        <f aca="false">C106+$B$4</f>
        <v>99000</v>
      </c>
    </row>
    <row r="108" customFormat="false" ht="15" hidden="true" customHeight="false" outlineLevel="1" collapsed="false">
      <c r="A108" s="11" t="n">
        <v>99</v>
      </c>
      <c r="B108" s="25" t="n">
        <f aca="false">B107*(1+$B$6)+$B$4</f>
        <v>163265.976913801</v>
      </c>
      <c r="C108" s="25" t="n">
        <f aca="false">C107+$B$4</f>
        <v>99500</v>
      </c>
    </row>
    <row r="109" customFormat="false" ht="15" hidden="true" customHeight="false" outlineLevel="1" collapsed="false">
      <c r="A109" s="11" t="n">
        <v>100</v>
      </c>
      <c r="B109" s="25" t="n">
        <f aca="false">B108*(1+$B$6)+$B$4</f>
        <v>164816.435125203</v>
      </c>
      <c r="C109" s="25" t="n">
        <f aca="false">C108+$B$4</f>
        <v>100000</v>
      </c>
    </row>
    <row r="110" customFormat="false" ht="15" hidden="true" customHeight="false" outlineLevel="1" collapsed="false">
      <c r="A110" s="11" t="n">
        <v>101</v>
      </c>
      <c r="B110" s="25" t="n">
        <f aca="false">B109*(1+$B$6)+$B$4</f>
        <v>166376.869031422</v>
      </c>
      <c r="C110" s="25" t="n">
        <f aca="false">C109+$B$4</f>
        <v>100500</v>
      </c>
    </row>
    <row r="111" customFormat="false" ht="15" hidden="true" customHeight="false" outlineLevel="1" collapsed="false">
      <c r="A111" s="11" t="n">
        <v>102</v>
      </c>
      <c r="B111" s="25" t="n">
        <f aca="false">B110*(1+$B$6)+$B$4</f>
        <v>167947.342816379</v>
      </c>
      <c r="C111" s="25" t="n">
        <f aca="false">C110+$B$4</f>
        <v>101000</v>
      </c>
    </row>
    <row r="112" customFormat="false" ht="15" hidden="true" customHeight="false" outlineLevel="1" collapsed="false">
      <c r="A112" s="11" t="n">
        <v>103</v>
      </c>
      <c r="B112" s="25" t="n">
        <f aca="false">B111*(1+$B$6)+$B$4</f>
        <v>169527.921076954</v>
      </c>
      <c r="C112" s="25" t="n">
        <f aca="false">C111+$B$4</f>
        <v>101500</v>
      </c>
    </row>
    <row r="113" customFormat="false" ht="15" hidden="true" customHeight="false" outlineLevel="1" collapsed="false">
      <c r="A113" s="11" t="n">
        <v>104</v>
      </c>
      <c r="B113" s="25" t="n">
        <f aca="false">B112*(1+$B$6)+$B$4</f>
        <v>171118.66882565</v>
      </c>
      <c r="C113" s="25" t="n">
        <f aca="false">C112+$B$4</f>
        <v>102000</v>
      </c>
    </row>
    <row r="114" customFormat="false" ht="15" hidden="true" customHeight="false" outlineLevel="1" collapsed="false">
      <c r="A114" s="11" t="n">
        <v>105</v>
      </c>
      <c r="B114" s="25" t="n">
        <f aca="false">B113*(1+$B$6)+$B$4</f>
        <v>172719.651493258</v>
      </c>
      <c r="C114" s="25" t="n">
        <f aca="false">C113+$B$4</f>
        <v>102500</v>
      </c>
    </row>
    <row r="115" customFormat="false" ht="15" hidden="true" customHeight="false" outlineLevel="1" collapsed="false">
      <c r="A115" s="11" t="n">
        <v>106</v>
      </c>
      <c r="B115" s="25" t="n">
        <f aca="false">B114*(1+$B$6)+$B$4</f>
        <v>174330.934931555</v>
      </c>
      <c r="C115" s="25" t="n">
        <f aca="false">C114+$B$4</f>
        <v>103000</v>
      </c>
    </row>
    <row r="116" customFormat="false" ht="15" hidden="true" customHeight="false" outlineLevel="1" collapsed="false">
      <c r="A116" s="11" t="n">
        <v>107</v>
      </c>
      <c r="B116" s="25" t="n">
        <f aca="false">B115*(1+$B$6)+$B$4</f>
        <v>175952.585416009</v>
      </c>
      <c r="C116" s="25" t="n">
        <f aca="false">C115+$B$4</f>
        <v>103500</v>
      </c>
    </row>
    <row r="117" customFormat="false" ht="15" hidden="true" customHeight="false" outlineLevel="1" collapsed="false">
      <c r="A117" s="11" t="n">
        <v>108</v>
      </c>
      <c r="B117" s="25" t="n">
        <f aca="false">B116*(1+$B$6)+$B$4</f>
        <v>177584.669648509</v>
      </c>
      <c r="C117" s="25" t="n">
        <f aca="false">C116+$B$4</f>
        <v>104000</v>
      </c>
    </row>
    <row r="118" customFormat="false" ht="15" hidden="true" customHeight="false" outlineLevel="1" collapsed="false">
      <c r="A118" s="11" t="n">
        <v>109</v>
      </c>
      <c r="B118" s="25" t="n">
        <f aca="false">B117*(1+$B$6)+$B$4</f>
        <v>179227.254760102</v>
      </c>
      <c r="C118" s="25" t="n">
        <f aca="false">C117+$B$4</f>
        <v>104500</v>
      </c>
    </row>
    <row r="119" customFormat="false" ht="15" hidden="true" customHeight="false" outlineLevel="1" collapsed="false">
      <c r="A119" s="11" t="n">
        <v>110</v>
      </c>
      <c r="B119" s="25" t="n">
        <f aca="false">B118*(1+$B$6)+$B$4</f>
        <v>180880.408313762</v>
      </c>
      <c r="C119" s="25" t="n">
        <f aca="false">C118+$B$4</f>
        <v>105000</v>
      </c>
    </row>
    <row r="120" customFormat="false" ht="15" hidden="true" customHeight="false" outlineLevel="1" collapsed="false">
      <c r="A120" s="11" t="n">
        <v>111</v>
      </c>
      <c r="B120" s="25" t="n">
        <f aca="false">B119*(1+$B$6)+$B$4</f>
        <v>182544.198307162</v>
      </c>
      <c r="C120" s="25" t="n">
        <f aca="false">C119+$B$4</f>
        <v>105500</v>
      </c>
    </row>
    <row r="121" customFormat="false" ht="15" hidden="true" customHeight="false" outlineLevel="1" collapsed="false">
      <c r="A121" s="11" t="n">
        <v>112</v>
      </c>
      <c r="B121" s="25" t="n">
        <f aca="false">B120*(1+$B$6)+$B$4</f>
        <v>184218.693175477</v>
      </c>
      <c r="C121" s="25" t="n">
        <f aca="false">C120+$B$4</f>
        <v>106000</v>
      </c>
    </row>
    <row r="122" customFormat="false" ht="15" hidden="true" customHeight="false" outlineLevel="1" collapsed="false">
      <c r="A122" s="11" t="n">
        <v>113</v>
      </c>
      <c r="B122" s="25" t="n">
        <f aca="false">B121*(1+$B$6)+$B$4</f>
        <v>185903.961794194</v>
      </c>
      <c r="C122" s="25" t="n">
        <f aca="false">C121+$B$4</f>
        <v>106500</v>
      </c>
    </row>
    <row r="123" customFormat="false" ht="15" hidden="true" customHeight="false" outlineLevel="1" collapsed="false">
      <c r="A123" s="11" t="n">
        <v>114</v>
      </c>
      <c r="B123" s="25" t="n">
        <f aca="false">B122*(1+$B$6)+$B$4</f>
        <v>187600.073481946</v>
      </c>
      <c r="C123" s="25" t="n">
        <f aca="false">C122+$B$4</f>
        <v>107000</v>
      </c>
    </row>
    <row r="124" customFormat="false" ht="15" hidden="true" customHeight="false" outlineLevel="1" collapsed="false">
      <c r="A124" s="11" t="n">
        <v>115</v>
      </c>
      <c r="B124" s="25" t="n">
        <f aca="false">B123*(1+$B$6)+$B$4</f>
        <v>189307.098003368</v>
      </c>
      <c r="C124" s="25" t="n">
        <f aca="false">C123+$B$4</f>
        <v>107500</v>
      </c>
    </row>
    <row r="125" customFormat="false" ht="15" hidden="true" customHeight="false" outlineLevel="1" collapsed="false">
      <c r="A125" s="11" t="n">
        <v>116</v>
      </c>
      <c r="B125" s="25" t="n">
        <f aca="false">B124*(1+$B$6)+$B$4</f>
        <v>191025.105571959</v>
      </c>
      <c r="C125" s="25" t="n">
        <f aca="false">C124+$B$4</f>
        <v>108000</v>
      </c>
    </row>
    <row r="126" customFormat="false" ht="15" hidden="true" customHeight="false" outlineLevel="1" collapsed="false">
      <c r="A126" s="11" t="n">
        <v>117</v>
      </c>
      <c r="B126" s="25" t="n">
        <f aca="false">B125*(1+$B$6)+$B$4</f>
        <v>192754.166852976</v>
      </c>
      <c r="C126" s="25" t="n">
        <f aca="false">C125+$B$4</f>
        <v>108500</v>
      </c>
    </row>
    <row r="127" customFormat="false" ht="15" hidden="true" customHeight="false" outlineLevel="1" collapsed="false">
      <c r="A127" s="11" t="n">
        <v>118</v>
      </c>
      <c r="B127" s="25" t="n">
        <f aca="false">B126*(1+$B$6)+$B$4</f>
        <v>194494.352966336</v>
      </c>
      <c r="C127" s="25" t="n">
        <f aca="false">C126+$B$4</f>
        <v>109000</v>
      </c>
    </row>
    <row r="128" customFormat="false" ht="15" hidden="true" customHeight="false" outlineLevel="1" collapsed="false">
      <c r="A128" s="11" t="n">
        <v>119</v>
      </c>
      <c r="B128" s="25" t="n">
        <f aca="false">B127*(1+$B$6)+$B$4</f>
        <v>196245.735489547</v>
      </c>
      <c r="C128" s="25" t="n">
        <f aca="false">C127+$B$4</f>
        <v>109500</v>
      </c>
    </row>
    <row r="129" customFormat="false" ht="15" hidden="true" customHeight="false" outlineLevel="1" collapsed="false">
      <c r="A129" s="11" t="n">
        <v>120</v>
      </c>
      <c r="B129" s="25" t="n">
        <f aca="false">B128*(1+$B$6)+$B$4</f>
        <v>198008.386460647</v>
      </c>
      <c r="C129" s="25" t="n">
        <f aca="false">C128+$B$4</f>
        <v>110000</v>
      </c>
    </row>
    <row r="131" customFormat="false" ht="15" hidden="false" customHeight="false" outlineLevel="0" collapsed="false">
      <c r="A131" s="4" t="s">
        <v>277</v>
      </c>
    </row>
    <row r="132" customFormat="false" ht="26.85" hidden="false" customHeight="false" outlineLevel="0" collapsed="false">
      <c r="A132" s="14" t="s">
        <v>278</v>
      </c>
      <c r="B132" s="14" t="s">
        <v>279</v>
      </c>
      <c r="C132" s="14" t="s">
        <v>276</v>
      </c>
      <c r="D132" s="14" t="s">
        <v>280</v>
      </c>
    </row>
    <row r="133" customFormat="false" ht="15" hidden="false" customHeight="false" outlineLevel="0" collapsed="false">
      <c r="A133" s="15" t="n">
        <v>1</v>
      </c>
      <c r="B133" s="51" t="n">
        <f aca="false">B21</f>
        <v>60216.9432402576</v>
      </c>
      <c r="C133" s="51" t="n">
        <f aca="false">C21</f>
        <v>56000</v>
      </c>
      <c r="D133" s="18" t="n">
        <f aca="false">B133-C133</f>
        <v>4216.94324025761</v>
      </c>
    </row>
    <row r="134" customFormat="false" ht="15" hidden="false" customHeight="false" outlineLevel="0" collapsed="false">
      <c r="A134" s="15" t="n">
        <v>2</v>
      </c>
      <c r="B134" s="51" t="n">
        <f aca="false">B33</f>
        <v>71251.2419397358</v>
      </c>
      <c r="C134" s="51" t="n">
        <f aca="false">C33</f>
        <v>62000</v>
      </c>
      <c r="D134" s="18" t="n">
        <f aca="false">B134-C134</f>
        <v>9251.24193973583</v>
      </c>
    </row>
    <row r="135" customFormat="false" ht="15" hidden="false" customHeight="false" outlineLevel="0" collapsed="false">
      <c r="A135" s="15" t="n">
        <v>3</v>
      </c>
      <c r="B135" s="51" t="n">
        <f aca="false">B45</f>
        <v>83168.2845351723</v>
      </c>
      <c r="C135" s="51" t="n">
        <f aca="false">C45</f>
        <v>68000</v>
      </c>
      <c r="D135" s="18" t="n">
        <f aca="false">B135-C135</f>
        <v>15168.2845351723</v>
      </c>
    </row>
    <row r="136" customFormat="false" ht="15" hidden="false" customHeight="false" outlineLevel="0" collapsed="false">
      <c r="A136" s="15" t="n">
        <v>4</v>
      </c>
      <c r="B136" s="51" t="n">
        <f aca="false">B57</f>
        <v>96038.6905382437</v>
      </c>
      <c r="C136" s="51" t="n">
        <f aca="false">C57</f>
        <v>74000</v>
      </c>
      <c r="D136" s="18" t="n">
        <f aca="false">B136-C136</f>
        <v>22038.6905382437</v>
      </c>
    </row>
    <row r="137" customFormat="false" ht="15" hidden="false" customHeight="false" outlineLevel="0" collapsed="false">
      <c r="A137" s="15" t="n">
        <v>5</v>
      </c>
      <c r="B137" s="51" t="n">
        <f aca="false">B69</f>
        <v>109938.729021561</v>
      </c>
      <c r="C137" s="51" t="n">
        <f aca="false">C69</f>
        <v>80000</v>
      </c>
      <c r="D137" s="18" t="n">
        <f aca="false">B137-C137</f>
        <v>29938.7290215608</v>
      </c>
    </row>
    <row r="138" customFormat="false" ht="15" hidden="false" customHeight="false" outlineLevel="0" collapsed="false">
      <c r="A138" s="15" t="n">
        <v>6</v>
      </c>
      <c r="B138" s="51" t="n">
        <f aca="false">B81</f>
        <v>124950.770583543</v>
      </c>
      <c r="C138" s="51" t="n">
        <f aca="false">C81</f>
        <v>86000</v>
      </c>
      <c r="D138" s="18" t="n">
        <f aca="false">B138-C138</f>
        <v>38950.7705835433</v>
      </c>
    </row>
    <row r="139" customFormat="false" ht="15" hidden="false" customHeight="false" outlineLevel="0" collapsed="false">
      <c r="A139" s="15" t="n">
        <v>7</v>
      </c>
      <c r="B139" s="51" t="n">
        <f aca="false">B93</f>
        <v>141163.775470484</v>
      </c>
      <c r="C139" s="51" t="n">
        <f aca="false">C93</f>
        <v>92000</v>
      </c>
      <c r="D139" s="18" t="n">
        <f aca="false">B139-C139</f>
        <v>49163.7754704843</v>
      </c>
    </row>
    <row r="140" customFormat="false" ht="15" hidden="false" customHeight="false" outlineLevel="0" collapsed="false">
      <c r="A140" s="15" t="n">
        <v>8</v>
      </c>
      <c r="B140" s="51" t="n">
        <f aca="false">B105</f>
        <v>158673.820748381</v>
      </c>
      <c r="C140" s="51" t="n">
        <f aca="false">C105</f>
        <v>98000</v>
      </c>
      <c r="D140" s="18" t="n">
        <f aca="false">B140-C140</f>
        <v>60673.8207483807</v>
      </c>
    </row>
    <row r="141" customFormat="false" ht="15" hidden="false" customHeight="false" outlineLevel="0" collapsed="false">
      <c r="A141" s="15" t="n">
        <v>9</v>
      </c>
      <c r="B141" s="51" t="n">
        <f aca="false">B117</f>
        <v>177584.669648509</v>
      </c>
      <c r="C141" s="51" t="n">
        <f aca="false">C117</f>
        <v>104000</v>
      </c>
      <c r="D141" s="18" t="n">
        <f aca="false">B141-C141</f>
        <v>73584.6696485088</v>
      </c>
    </row>
    <row r="142" customFormat="false" ht="15" hidden="false" customHeight="false" outlineLevel="0" collapsed="false">
      <c r="A142" s="15" t="n">
        <v>10</v>
      </c>
      <c r="B142" s="51" t="n">
        <f aca="false">B129</f>
        <v>198008.386460647</v>
      </c>
      <c r="C142" s="51" t="n">
        <f aca="false">C129</f>
        <v>110000</v>
      </c>
      <c r="D142" s="18" t="n">
        <f aca="false">B142-C142</f>
        <v>88008.386460647</v>
      </c>
    </row>
    <row r="144" customFormat="false" ht="15" hidden="false" customHeight="false" outlineLevel="0" collapsed="false">
      <c r="A144" s="11" t="s">
        <v>281</v>
      </c>
      <c r="B144" s="28" t="n">
        <f aca="false">B142*B7</f>
        <v>188.107967137615</v>
      </c>
    </row>
    <row r="146" customFormat="false" ht="15" hidden="false" customHeight="true" outlineLevel="0" collapsed="false">
      <c r="A146" s="10" t="s">
        <v>282</v>
      </c>
      <c r="B146" s="10"/>
      <c r="C146" s="10"/>
      <c r="D146" s="10"/>
    </row>
    <row r="147" customFormat="false" ht="15" hidden="false" customHeight="false" outlineLevel="0" collapsed="false">
      <c r="A147" s="10"/>
      <c r="B147" s="10"/>
      <c r="C147" s="10"/>
      <c r="D147" s="10"/>
    </row>
    <row r="148" customFormat="false" ht="15" hidden="false" customHeight="false" outlineLevel="0" collapsed="false">
      <c r="A148" s="10"/>
      <c r="B148" s="10"/>
      <c r="C148" s="10"/>
      <c r="D148" s="10"/>
    </row>
  </sheetData>
  <mergeCells count="2">
    <mergeCell ref="A1:D1"/>
    <mergeCell ref="A146:D1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2026-09-14T00:52:35Z</dcterms:created>
  <dc:creator>openpyxl</dc:creator>
  <dc:description/>
  <dc:language>en-US</dc:language>
  <cp:lastModifiedBy/>
  <dcterms:modified xsi:type="dcterms:W3CDTF">2026-09-14T00:52:35Z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